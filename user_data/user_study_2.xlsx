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SF_User_Studies_FYP/"/>
    </mc:Choice>
  </mc:AlternateContent>
  <xr:revisionPtr revIDLastSave="0" documentId="13_ncr:1_{C7E39E66-6515-3440-9230-BB792D520250}" xr6:coauthVersionLast="47" xr6:coauthVersionMax="47" xr10:uidLastSave="{00000000-0000-0000-0000-000000000000}"/>
  <bookViews>
    <workbookView xWindow="0" yWindow="500" windowWidth="28800" windowHeight="15800" activeTab="2" xr2:uid="{EC2F5D1C-9962-7B43-9B0D-1083EEFF5DF6}"/>
  </bookViews>
  <sheets>
    <sheet name="SF_First" sheetId="5" r:id="rId1"/>
    <sheet name="CF_First" sheetId="2" r:id="rId2"/>
    <sheet name="Aggrega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5" i="5" l="1"/>
  <c r="E54" i="5"/>
  <c r="D55" i="5"/>
  <c r="D54" i="5"/>
  <c r="E55" i="2"/>
  <c r="D55" i="2"/>
  <c r="E54" i="2"/>
  <c r="D54" i="2"/>
  <c r="D4" i="3"/>
  <c r="D3" i="3"/>
  <c r="C4" i="3"/>
  <c r="C3" i="3"/>
  <c r="D25" i="5"/>
  <c r="D24" i="5"/>
  <c r="D49" i="5"/>
  <c r="D48" i="5"/>
  <c r="D49" i="2"/>
  <c r="D48" i="2"/>
  <c r="D25" i="2"/>
  <c r="D24" i="2"/>
</calcChain>
</file>

<file path=xl/sharedStrings.xml><?xml version="1.0" encoding="utf-8"?>
<sst xmlns="http://schemas.openxmlformats.org/spreadsheetml/2006/main" count="856" uniqueCount="48">
  <si>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</si>
  <si>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</si>
  <si>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</si>
  <si>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</si>
  <si>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</si>
  <si>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</si>
  <si>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</si>
  <si>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</si>
  <si>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</si>
  <si>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</si>
  <si>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Loan Accept</t>
  </si>
  <si>
    <t>Loan Reject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</si>
  <si>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</si>
  <si>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</si>
  <si>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</si>
  <si>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</si>
  <si>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</si>
  <si>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</si>
  <si>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</si>
  <si>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</si>
  <si>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</si>
  <si>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</si>
  <si>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</si>
  <si>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</si>
  <si>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</si>
  <si>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</si>
  <si>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</si>
  <si>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</si>
  <si>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</si>
  <si>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</si>
  <si>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</si>
  <si>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</si>
  <si>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</si>
  <si>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</si>
  <si>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</si>
  <si>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</si>
  <si>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Across All</t>
  </si>
  <si>
    <t>Accept</t>
  </si>
  <si>
    <t>Reject</t>
  </si>
  <si>
    <t>U11</t>
  </si>
  <si>
    <t>U12</t>
  </si>
  <si>
    <t>U13</t>
  </si>
  <si>
    <t>U14</t>
  </si>
  <si>
    <t>U15</t>
  </si>
  <si>
    <t>sf</t>
  </si>
  <si>
    <t>cf</t>
  </si>
  <si>
    <t>CF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</si>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</sst>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SF_First!$D$53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SF_First!$D$54:$D$55</c:f>
              <c:numCache>
                <c:formatCode>General</c:formatCode>
                <c:ptCount val="2"/>
                <c:pt idx="0">
                  <c:v>61.111111111111114</c:v>
                </c:pt>
                <c:pt idx="1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5-DC47-B883-3602492E00D6}"/>
            </c:ext>
          </c:extLst>
        </c:ser>
        <c:ser>
          <c:idx val="1"/>
          <c:order val="1"/>
          <c:tx>
            <c:strRef>
              <c:f>SF_First!$E$53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SF_First!$E$54:$E$55</c:f>
              <c:numCache>
                <c:formatCode>General</c:formatCode>
                <c:ptCount val="2"/>
                <c:pt idx="0">
                  <c:v>38.888888888888893</c:v>
                </c:pt>
                <c:pt idx="1">
                  <c:v>96.666666666666671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5-DC47-B883-3602492E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4672"/>
        <c:axId val="1671306320"/>
      </c:barChart>
      <c:catAx>
        <c:axId val="1671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6320"/>
        <c:crosses val="autoZero"/>
        <c:auto val="1"/>
        <c:lblAlgn val="ctr"/>
        <c:lblOffset val="100"/>
        <c:noMultiLvlLbl val="0"/>
      </c:catAx>
      <c:valAx>
        <c:axId val="1671306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CF_First!$D$53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CF_First!$D$54:$D$55</c:f>
              <c:numCache>
                <c:formatCode>General</c:formatCode>
                <c:ptCount val="2"/>
                <c:pt idx="0">
                  <c:v>77.222222222222229</c:v>
                </c:pt>
                <c:pt idx="1">
                  <c:v>7.2222222222222214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9-344D-99A4-8D00DC7597AF}"/>
            </c:ext>
          </c:extLst>
        </c:ser>
        <c:ser>
          <c:idx val="1"/>
          <c:order val="1"/>
          <c:tx>
            <c:strRef>
              <c:f>CF_First!$E$53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CF_First!$E$54:$E$55</c:f>
              <c:numCache>
                <c:formatCode>General</c:formatCode>
                <c:ptCount val="2"/>
                <c:pt idx="0">
                  <c:v>22.777777777777779</c:v>
                </c:pt>
                <c:pt idx="1">
                  <c:v>92.777777777777786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9-344D-99A4-8D00DC75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4672"/>
        <c:axId val="1671306320"/>
      </c:barChart>
      <c:catAx>
        <c:axId val="1671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6320"/>
        <c:crosses val="autoZero"/>
        <c:auto val="1"/>
        <c:lblAlgn val="ctr"/>
        <c:lblOffset val="100"/>
        <c:noMultiLvlLbl val="0"/>
      </c:catAx>
      <c:valAx>
        <c:axId val="1671306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SF vs CF Selected (Forced Choice)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Aggregated!$C$2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Aggregated!$B$3:$B$4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Aggregated!$C$3:$C$4</c:f>
              <c:numCache>
                <c:formatCode>General</c:formatCode>
                <c:ptCount val="2"/>
                <c:pt idx="0">
                  <c:v>69.166666666666671</c:v>
                </c:pt>
                <c:pt idx="1">
                  <c:v>5.2777777777777777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0-F943-BFD7-792DC4E29162}"/>
            </c:ext>
          </c:extLst>
        </c:ser>
        <c:ser>
          <c:idx val="1"/>
          <c:order val="1"/>
          <c:tx>
            <c:strRef>
              <c:f>Aggregated!$D$2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Aggregated!$B$3:$B$4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Aggregated!$D$3:$D$4</c:f>
              <c:numCache>
                <c:formatCode>General</c:formatCode>
                <c:ptCount val="2"/>
                <c:pt idx="0">
                  <c:v>30.833333333333336</c:v>
                </c:pt>
                <c:pt idx="1">
                  <c:v>94.722222222222229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0-F943-BFD7-792DC4E2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347088"/>
        <c:axId val="1647136032"/>
      </c:barChart>
      <c:catAx>
        <c:axId val="15463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36032"/>
        <c:crosses val="autoZero"/>
        <c:auto val="1"/>
        <c:lblAlgn val="ctr"/>
        <c:lblOffset val="100"/>
        <c:noMultiLvlLbl val="0"/>
      </c:catAx>
      <c:valAx>
        <c:axId val="16471360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51</xdr:row>
      <xdr:rowOff>177800</xdr:rowOff>
    </xdr:from>
    <xdr:to>
      <xdr:col>11</xdr:col>
      <xdr:colOff>800100</xdr:colOff>
      <xdr:row>66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5DE65-1FBC-874E-B67F-78FD7251D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51</xdr:row>
      <xdr:rowOff>177800</xdr:rowOff>
    </xdr:from>
    <xdr:to>
      <xdr:col>11</xdr:col>
      <xdr:colOff>800100</xdr:colOff>
      <xdr:row>66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FC9A0-425B-7819-5878-DCC73B13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5</xdr:row>
      <xdr:rowOff>50800</xdr:rowOff>
    </xdr:from>
    <xdr:to>
      <xdr:col>11</xdr:col>
      <xdr:colOff>76200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8E438-DBD6-C2EA-6BD9-6F4559006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6F8B-5E3D-304A-A660-99C27A5F6B2A}">
  <dimension ref="C4:AR55"/>
  <sheetViews>
    <sheetView topLeftCell="A23" workbookViewId="0">
      <selection activeCell="E56" sqref="E56"/>
    </sheetView>
  </sheetViews>
  <sheetFormatPr baseColWidth="10" defaultRowHeight="16" x14ac:dyDescent="0.2"/>
  <sheetData>
    <row r="4" spans="3:44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3:44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3:44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3:44" x14ac:dyDescent="0.2">
      <c r="C7" s="2" t="s">
        <v>0</v>
      </c>
      <c r="D7" t="s">
        <v>44</v>
      </c>
      <c r="F7" t="s">
        <v>44</v>
      </c>
      <c r="H7" t="s">
        <v>44</v>
      </c>
      <c r="J7" t="s">
        <v>44</v>
      </c>
      <c r="L7" t="s">
        <v>44</v>
      </c>
      <c r="N7" t="s">
        <v>44</v>
      </c>
      <c r="P7" t="s">
        <v>44</v>
      </c>
      <c r="R7" t="s">
        <v>44</v>
      </c>
      <c r="T7" t="s">
        <v>44</v>
      </c>
      <c r="V7" t="s">
        <v>44</v>
      </c>
      <c r="X7" t="s">
        <v>44</v>
      </c>
      <c r="Z7" t="s">
        <v>45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3:44" x14ac:dyDescent="0.2">
      <c r="C8" s="2" t="s">
        <v>1</v>
      </c>
      <c r="D8" t="s">
        <v>44</v>
      </c>
      <c r="F8" t="s">
        <v>45</v>
      </c>
      <c r="H8" t="s">
        <v>44</v>
      </c>
      <c r="J8" t="s">
        <v>45</v>
      </c>
      <c r="L8" t="s">
        <v>44</v>
      </c>
      <c r="N8" t="s">
        <v>45</v>
      </c>
      <c r="P8" t="s">
        <v>45</v>
      </c>
      <c r="R8" t="s">
        <v>45</v>
      </c>
      <c r="T8" t="s">
        <v>45</v>
      </c>
      <c r="V8" t="s">
        <v>45</v>
      </c>
      <c r="X8" t="s">
        <v>44</v>
      </c>
      <c r="Z8" t="s">
        <v>45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3:44" x14ac:dyDescent="0.2">
      <c r="C9" s="2" t="s">
        <v>2</v>
      </c>
      <c r="D9" t="s">
        <v>44</v>
      </c>
      <c r="F9" t="s">
        <v>44</v>
      </c>
      <c r="H9" t="s">
        <v>44</v>
      </c>
      <c r="J9" t="s">
        <v>44</v>
      </c>
      <c r="L9" t="s">
        <v>44</v>
      </c>
      <c r="N9" t="s">
        <v>44</v>
      </c>
      <c r="P9" t="s">
        <v>44</v>
      </c>
      <c r="R9" t="s">
        <v>44</v>
      </c>
      <c r="T9" t="s">
        <v>44</v>
      </c>
      <c r="V9" t="s">
        <v>44</v>
      </c>
      <c r="X9" t="s">
        <v>44</v>
      </c>
      <c r="Z9" t="s">
        <v>45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3:44" x14ac:dyDescent="0.2">
      <c r="C10" s="2" t="s">
        <v>3</v>
      </c>
      <c r="D10" t="s">
        <v>44</v>
      </c>
      <c r="F10" t="s">
        <v>45</v>
      </c>
      <c r="H10" t="s">
        <v>44</v>
      </c>
      <c r="J10" t="s">
        <v>45</v>
      </c>
      <c r="L10" t="s">
        <v>44</v>
      </c>
      <c r="N10" t="s">
        <v>44</v>
      </c>
      <c r="P10" t="s">
        <v>44</v>
      </c>
      <c r="R10" t="s">
        <v>45</v>
      </c>
      <c r="T10" t="s">
        <v>44</v>
      </c>
      <c r="V10" t="s">
        <v>44</v>
      </c>
      <c r="X10" t="s">
        <v>44</v>
      </c>
      <c r="Z10" t="s">
        <v>45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3:44" x14ac:dyDescent="0.2">
      <c r="C11" s="2" t="s">
        <v>4</v>
      </c>
      <c r="D11" t="s">
        <v>45</v>
      </c>
      <c r="F11" t="s">
        <v>44</v>
      </c>
      <c r="H11" t="s">
        <v>44</v>
      </c>
      <c r="J11" t="s">
        <v>45</v>
      </c>
      <c r="L11" t="s">
        <v>44</v>
      </c>
      <c r="N11" t="s">
        <v>45</v>
      </c>
      <c r="P11" t="s">
        <v>45</v>
      </c>
      <c r="R11" t="s">
        <v>44</v>
      </c>
      <c r="T11" t="s">
        <v>45</v>
      </c>
      <c r="V11" t="s">
        <v>44</v>
      </c>
      <c r="X11" t="s">
        <v>44</v>
      </c>
      <c r="Z11" t="s">
        <v>45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3:44" x14ac:dyDescent="0.2">
      <c r="C12" s="2" t="s">
        <v>5</v>
      </c>
      <c r="D12" t="s">
        <v>44</v>
      </c>
      <c r="F12" t="s">
        <v>45</v>
      </c>
      <c r="H12" t="s">
        <v>44</v>
      </c>
      <c r="J12" t="s">
        <v>45</v>
      </c>
      <c r="L12" t="s">
        <v>44</v>
      </c>
      <c r="N12" t="s">
        <v>45</v>
      </c>
      <c r="P12" t="s">
        <v>45</v>
      </c>
      <c r="R12" t="s">
        <v>44</v>
      </c>
      <c r="T12" t="s">
        <v>44</v>
      </c>
      <c r="V12" t="s">
        <v>44</v>
      </c>
      <c r="X12" t="s">
        <v>44</v>
      </c>
      <c r="Z12" t="s">
        <v>45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3:44" x14ac:dyDescent="0.2">
      <c r="C13" s="2" t="s">
        <v>6</v>
      </c>
      <c r="D13" t="s">
        <v>44</v>
      </c>
      <c r="F13" t="s">
        <v>45</v>
      </c>
      <c r="H13" t="s">
        <v>44</v>
      </c>
      <c r="J13" t="s">
        <v>45</v>
      </c>
      <c r="L13" t="s">
        <v>44</v>
      </c>
      <c r="N13" t="s">
        <v>45</v>
      </c>
      <c r="P13" t="s">
        <v>45</v>
      </c>
      <c r="R13" t="s">
        <v>44</v>
      </c>
      <c r="T13" t="s">
        <v>44</v>
      </c>
      <c r="V13" t="s">
        <v>45</v>
      </c>
      <c r="X13" t="s">
        <v>44</v>
      </c>
      <c r="Z13" t="s">
        <v>45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3:44" x14ac:dyDescent="0.2">
      <c r="C14" s="2" t="s">
        <v>7</v>
      </c>
      <c r="D14" t="s">
        <v>45</v>
      </c>
      <c r="F14" t="s">
        <v>44</v>
      </c>
      <c r="H14" t="s">
        <v>44</v>
      </c>
      <c r="J14" t="s">
        <v>45</v>
      </c>
      <c r="L14" t="s">
        <v>44</v>
      </c>
      <c r="N14" t="s">
        <v>45</v>
      </c>
      <c r="P14" t="s">
        <v>45</v>
      </c>
      <c r="R14" t="s">
        <v>45</v>
      </c>
      <c r="T14" t="s">
        <v>44</v>
      </c>
      <c r="V14" t="s">
        <v>44</v>
      </c>
      <c r="X14" t="s">
        <v>44</v>
      </c>
      <c r="Z14" t="s">
        <v>45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3:44" x14ac:dyDescent="0.2">
      <c r="C15" s="2" t="s">
        <v>8</v>
      </c>
      <c r="D15" t="s">
        <v>44</v>
      </c>
      <c r="F15" t="s">
        <v>44</v>
      </c>
      <c r="H15" t="s">
        <v>44</v>
      </c>
      <c r="J15" t="s">
        <v>44</v>
      </c>
      <c r="L15" t="s">
        <v>44</v>
      </c>
      <c r="N15" t="s">
        <v>44</v>
      </c>
      <c r="P15" t="s">
        <v>44</v>
      </c>
      <c r="R15" t="s">
        <v>44</v>
      </c>
      <c r="T15" t="s">
        <v>44</v>
      </c>
      <c r="V15" t="s">
        <v>44</v>
      </c>
      <c r="X15" t="s">
        <v>44</v>
      </c>
      <c r="Z15" t="s">
        <v>45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3:44" x14ac:dyDescent="0.2">
      <c r="C16" s="2" t="s">
        <v>9</v>
      </c>
      <c r="D16" t="s">
        <v>44</v>
      </c>
      <c r="F16" t="s">
        <v>44</v>
      </c>
      <c r="H16" t="s">
        <v>44</v>
      </c>
      <c r="J16" t="s">
        <v>45</v>
      </c>
      <c r="L16" t="s">
        <v>44</v>
      </c>
      <c r="N16" t="s">
        <v>45</v>
      </c>
      <c r="P16" t="s">
        <v>44</v>
      </c>
      <c r="R16" t="s">
        <v>44</v>
      </c>
      <c r="T16" t="s">
        <v>44</v>
      </c>
      <c r="V16" t="s">
        <v>45</v>
      </c>
      <c r="X16" t="s">
        <v>44</v>
      </c>
      <c r="Z16" t="s">
        <v>45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3:44" x14ac:dyDescent="0.2">
      <c r="C17" s="2" t="s">
        <v>39</v>
      </c>
      <c r="D17" t="s">
        <v>44</v>
      </c>
      <c r="F17" t="s">
        <v>45</v>
      </c>
      <c r="H17" t="s">
        <v>44</v>
      </c>
      <c r="J17" t="s">
        <v>45</v>
      </c>
      <c r="L17" t="s">
        <v>44</v>
      </c>
      <c r="N17" t="s">
        <v>44</v>
      </c>
      <c r="P17" t="s">
        <v>44</v>
      </c>
      <c r="R17" t="s">
        <v>45</v>
      </c>
      <c r="T17" t="s">
        <v>45</v>
      </c>
      <c r="V17" t="s">
        <v>44</v>
      </c>
      <c r="X17" t="s">
        <v>44</v>
      </c>
      <c r="Z17" t="s">
        <v>45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3:44" x14ac:dyDescent="0.2">
      <c r="C18" s="2" t="s">
        <v>40</v>
      </c>
      <c r="D18" t="s">
        <v>44</v>
      </c>
      <c r="F18" t="s">
        <v>45</v>
      </c>
      <c r="H18" t="s">
        <v>44</v>
      </c>
      <c r="J18" t="s">
        <v>45</v>
      </c>
      <c r="L18" t="s">
        <v>44</v>
      </c>
      <c r="N18" t="s">
        <v>44</v>
      </c>
      <c r="P18" t="s">
        <v>45</v>
      </c>
      <c r="R18" t="s">
        <v>44</v>
      </c>
      <c r="T18" t="s">
        <v>45</v>
      </c>
      <c r="V18" t="s">
        <v>44</v>
      </c>
      <c r="X18" t="s">
        <v>44</v>
      </c>
      <c r="Z18" t="s">
        <v>45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3:44" x14ac:dyDescent="0.2">
      <c r="C19" s="2" t="s">
        <v>41</v>
      </c>
      <c r="D19" t="s">
        <v>45</v>
      </c>
      <c r="F19" t="s">
        <v>44</v>
      </c>
      <c r="H19" t="s">
        <v>44</v>
      </c>
      <c r="J19" t="s">
        <v>45</v>
      </c>
      <c r="L19" t="s">
        <v>44</v>
      </c>
      <c r="N19" t="s">
        <v>45</v>
      </c>
      <c r="P19" t="s">
        <v>45</v>
      </c>
      <c r="R19" t="s">
        <v>45</v>
      </c>
      <c r="T19" t="s">
        <v>45</v>
      </c>
      <c r="V19" t="s">
        <v>45</v>
      </c>
      <c r="X19" t="s">
        <v>45</v>
      </c>
      <c r="Z19" t="s">
        <v>45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3:44" x14ac:dyDescent="0.2">
      <c r="C20" s="2" t="s">
        <v>42</v>
      </c>
      <c r="D20" t="s">
        <v>44</v>
      </c>
      <c r="F20" t="s">
        <v>45</v>
      </c>
      <c r="H20" t="s">
        <v>45</v>
      </c>
      <c r="J20" t="s">
        <v>44</v>
      </c>
      <c r="L20" t="s">
        <v>44</v>
      </c>
      <c r="N20" t="s">
        <v>44</v>
      </c>
      <c r="P20" t="s">
        <v>45</v>
      </c>
      <c r="R20" t="s">
        <v>44</v>
      </c>
      <c r="T20" t="s">
        <v>45</v>
      </c>
      <c r="V20" t="s">
        <v>44</v>
      </c>
      <c r="X20" t="s">
        <v>45</v>
      </c>
      <c r="Z20" t="s">
        <v>45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3:44" x14ac:dyDescent="0.2">
      <c r="C21" s="2" t="s">
        <v>43</v>
      </c>
      <c r="D21" t="s">
        <v>44</v>
      </c>
      <c r="F21" t="s">
        <v>44</v>
      </c>
      <c r="H21" t="s">
        <v>44</v>
      </c>
      <c r="J21" t="s">
        <v>45</v>
      </c>
      <c r="L21" t="s">
        <v>44</v>
      </c>
      <c r="N21" t="s">
        <v>44</v>
      </c>
      <c r="P21" t="s">
        <v>45</v>
      </c>
      <c r="R21" t="s">
        <v>44</v>
      </c>
      <c r="T21" t="s">
        <v>44</v>
      </c>
      <c r="V21" t="s">
        <v>44</v>
      </c>
      <c r="X21" t="s">
        <v>44</v>
      </c>
      <c r="Z21" t="s">
        <v>45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3:44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3:44" x14ac:dyDescent="0.2">
      <c r="C23" s="2" t="s">
        <v>36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3:44" x14ac:dyDescent="0.2">
      <c r="C24" s="2" t="s">
        <v>47</v>
      </c>
      <c r="D24" s="2">
        <f>COUNTIF(D7:Z21,"sf")</f>
        <v>110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3:44" x14ac:dyDescent="0.2">
      <c r="C25" s="2" t="s">
        <v>46</v>
      </c>
      <c r="D25" s="2">
        <f>COUNTIF(D7:Z21,"cf")</f>
        <v>70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3:44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3:44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3:44" x14ac:dyDescent="0.2">
      <c r="C28" s="1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3:44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3:44" x14ac:dyDescent="0.2">
      <c r="C30" s="2"/>
      <c r="D30" s="2" t="s">
        <v>24</v>
      </c>
      <c r="E30" s="2"/>
      <c r="F30" s="2" t="s">
        <v>25</v>
      </c>
      <c r="G30" s="2"/>
      <c r="H30" s="2" t="s">
        <v>26</v>
      </c>
      <c r="I30" s="2"/>
      <c r="J30" s="2" t="s">
        <v>27</v>
      </c>
      <c r="K30" s="2"/>
      <c r="L30" s="2" t="s">
        <v>28</v>
      </c>
      <c r="M30" s="2"/>
      <c r="N30" s="2" t="s">
        <v>29</v>
      </c>
      <c r="O30" s="2"/>
      <c r="P30" s="2" t="s">
        <v>30</v>
      </c>
      <c r="Q30" s="2"/>
      <c r="R30" s="2" t="s">
        <v>31</v>
      </c>
      <c r="S30" s="2"/>
      <c r="T30" s="2" t="s">
        <v>32</v>
      </c>
      <c r="U30" s="2"/>
      <c r="V30" s="2" t="s">
        <v>33</v>
      </c>
      <c r="W30" s="2"/>
      <c r="X30" s="2" t="s">
        <v>34</v>
      </c>
      <c r="Y30" s="2"/>
      <c r="Z30" s="2" t="s">
        <v>35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3:44" x14ac:dyDescent="0.2">
      <c r="C31" s="2" t="s">
        <v>0</v>
      </c>
      <c r="D31" t="s">
        <v>45</v>
      </c>
      <c r="F31" t="s">
        <v>45</v>
      </c>
      <c r="H31" t="s">
        <v>45</v>
      </c>
      <c r="J31" t="s">
        <v>45</v>
      </c>
      <c r="L31" t="s">
        <v>45</v>
      </c>
      <c r="N31" t="s">
        <v>45</v>
      </c>
      <c r="P31" t="s">
        <v>45</v>
      </c>
      <c r="R31" t="s">
        <v>45</v>
      </c>
      <c r="T31" t="s">
        <v>45</v>
      </c>
      <c r="V31" t="s">
        <v>45</v>
      </c>
      <c r="X31" t="s">
        <v>45</v>
      </c>
      <c r="Z31" t="s">
        <v>45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3:44" x14ac:dyDescent="0.2">
      <c r="C32" s="2" t="s">
        <v>1</v>
      </c>
      <c r="D32" t="s">
        <v>45</v>
      </c>
      <c r="F32" t="s">
        <v>45</v>
      </c>
      <c r="H32" t="s">
        <v>45</v>
      </c>
      <c r="J32" t="s">
        <v>45</v>
      </c>
      <c r="L32" t="s">
        <v>45</v>
      </c>
      <c r="N32" t="s">
        <v>45</v>
      </c>
      <c r="P32" t="s">
        <v>45</v>
      </c>
      <c r="R32" t="s">
        <v>45</v>
      </c>
      <c r="T32" t="s">
        <v>45</v>
      </c>
      <c r="V32" t="s">
        <v>45</v>
      </c>
      <c r="X32" t="s">
        <v>45</v>
      </c>
      <c r="Z32" t="s">
        <v>44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3:44" x14ac:dyDescent="0.2">
      <c r="C33" s="2" t="s">
        <v>2</v>
      </c>
      <c r="D33" t="s">
        <v>45</v>
      </c>
      <c r="F33" t="s">
        <v>45</v>
      </c>
      <c r="H33" t="s">
        <v>45</v>
      </c>
      <c r="J33" t="s">
        <v>45</v>
      </c>
      <c r="L33" t="s">
        <v>45</v>
      </c>
      <c r="N33" t="s">
        <v>45</v>
      </c>
      <c r="P33" t="s">
        <v>45</v>
      </c>
      <c r="R33" t="s">
        <v>45</v>
      </c>
      <c r="T33" t="s">
        <v>45</v>
      </c>
      <c r="V33" t="s">
        <v>45</v>
      </c>
      <c r="X33" t="s">
        <v>45</v>
      </c>
      <c r="Z33" t="s">
        <v>45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3:44" x14ac:dyDescent="0.2">
      <c r="C34" s="2" t="s">
        <v>3</v>
      </c>
      <c r="D34" t="s">
        <v>45</v>
      </c>
      <c r="F34" t="s">
        <v>45</v>
      </c>
      <c r="H34" t="s">
        <v>45</v>
      </c>
      <c r="J34" t="s">
        <v>45</v>
      </c>
      <c r="L34" t="s">
        <v>45</v>
      </c>
      <c r="N34" t="s">
        <v>45</v>
      </c>
      <c r="P34" t="s">
        <v>45</v>
      </c>
      <c r="R34" t="s">
        <v>45</v>
      </c>
      <c r="T34" t="s">
        <v>45</v>
      </c>
      <c r="V34" t="s">
        <v>45</v>
      </c>
      <c r="X34" t="s">
        <v>45</v>
      </c>
      <c r="Z34" t="s">
        <v>44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3:44" x14ac:dyDescent="0.2">
      <c r="C35" s="2" t="s">
        <v>4</v>
      </c>
      <c r="D35" t="s">
        <v>45</v>
      </c>
      <c r="F35" t="s">
        <v>45</v>
      </c>
      <c r="H35" t="s">
        <v>45</v>
      </c>
      <c r="J35" t="s">
        <v>45</v>
      </c>
      <c r="L35" t="s">
        <v>45</v>
      </c>
      <c r="N35" t="s">
        <v>45</v>
      </c>
      <c r="P35" t="s">
        <v>45</v>
      </c>
      <c r="R35" t="s">
        <v>45</v>
      </c>
      <c r="T35" t="s">
        <v>45</v>
      </c>
      <c r="V35" t="s">
        <v>45</v>
      </c>
      <c r="X35" t="s">
        <v>45</v>
      </c>
      <c r="Z35" t="s">
        <v>45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3:44" x14ac:dyDescent="0.2">
      <c r="C36" s="2" t="s">
        <v>5</v>
      </c>
      <c r="D36" t="s">
        <v>45</v>
      </c>
      <c r="F36" t="s">
        <v>45</v>
      </c>
      <c r="H36" t="s">
        <v>45</v>
      </c>
      <c r="J36" t="s">
        <v>44</v>
      </c>
      <c r="L36" t="s">
        <v>45</v>
      </c>
      <c r="N36" t="s">
        <v>45</v>
      </c>
      <c r="P36" t="s">
        <v>45</v>
      </c>
      <c r="R36" t="s">
        <v>45</v>
      </c>
      <c r="T36" t="s">
        <v>45</v>
      </c>
      <c r="V36" t="s">
        <v>45</v>
      </c>
      <c r="X36" t="s">
        <v>45</v>
      </c>
      <c r="Z36" t="s">
        <v>45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3:44" x14ac:dyDescent="0.2">
      <c r="C37" s="2" t="s">
        <v>6</v>
      </c>
      <c r="D37" t="s">
        <v>45</v>
      </c>
      <c r="F37" t="s">
        <v>45</v>
      </c>
      <c r="H37" t="s">
        <v>45</v>
      </c>
      <c r="J37" t="s">
        <v>45</v>
      </c>
      <c r="L37" t="s">
        <v>45</v>
      </c>
      <c r="N37" t="s">
        <v>45</v>
      </c>
      <c r="P37" t="s">
        <v>45</v>
      </c>
      <c r="R37" t="s">
        <v>45</v>
      </c>
      <c r="T37" t="s">
        <v>45</v>
      </c>
      <c r="V37" t="s">
        <v>45</v>
      </c>
      <c r="X37" t="s">
        <v>45</v>
      </c>
      <c r="Z37" t="s">
        <v>45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3:44" x14ac:dyDescent="0.2">
      <c r="C38" s="2" t="s">
        <v>7</v>
      </c>
      <c r="D38" t="s">
        <v>45</v>
      </c>
      <c r="F38" t="s">
        <v>45</v>
      </c>
      <c r="H38" t="s">
        <v>45</v>
      </c>
      <c r="J38" t="s">
        <v>45</v>
      </c>
      <c r="L38" t="s">
        <v>45</v>
      </c>
      <c r="N38" t="s">
        <v>45</v>
      </c>
      <c r="P38" t="s">
        <v>45</v>
      </c>
      <c r="R38" t="s">
        <v>45</v>
      </c>
      <c r="T38" t="s">
        <v>45</v>
      </c>
      <c r="V38" t="s">
        <v>45</v>
      </c>
      <c r="X38" t="s">
        <v>45</v>
      </c>
      <c r="Z38" t="s">
        <v>45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3:44" x14ac:dyDescent="0.2">
      <c r="C39" s="2" t="s">
        <v>8</v>
      </c>
      <c r="D39" t="s">
        <v>45</v>
      </c>
      <c r="F39" t="s">
        <v>45</v>
      </c>
      <c r="H39" t="s">
        <v>45</v>
      </c>
      <c r="J39" t="s">
        <v>45</v>
      </c>
      <c r="L39" t="s">
        <v>45</v>
      </c>
      <c r="N39" t="s">
        <v>45</v>
      </c>
      <c r="P39" t="s">
        <v>45</v>
      </c>
      <c r="R39" t="s">
        <v>44</v>
      </c>
      <c r="T39" t="s">
        <v>45</v>
      </c>
      <c r="V39" t="s">
        <v>45</v>
      </c>
      <c r="X39" t="s">
        <v>45</v>
      </c>
      <c r="Z39" t="s">
        <v>45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3:44" x14ac:dyDescent="0.2">
      <c r="C40" s="2" t="s">
        <v>9</v>
      </c>
      <c r="D40" t="s">
        <v>45</v>
      </c>
      <c r="F40" t="s">
        <v>44</v>
      </c>
      <c r="H40" t="s">
        <v>45</v>
      </c>
      <c r="J40" t="s">
        <v>45</v>
      </c>
      <c r="L40" t="s">
        <v>44</v>
      </c>
      <c r="N40" t="s">
        <v>45</v>
      </c>
      <c r="P40" t="s">
        <v>45</v>
      </c>
      <c r="R40" t="s">
        <v>45</v>
      </c>
      <c r="T40" t="s">
        <v>45</v>
      </c>
      <c r="V40" t="s">
        <v>45</v>
      </c>
      <c r="X40" t="s">
        <v>45</v>
      </c>
      <c r="Z40" t="s">
        <v>45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3:44" x14ac:dyDescent="0.2">
      <c r="C41" s="2" t="s">
        <v>39</v>
      </c>
      <c r="D41" t="s">
        <v>45</v>
      </c>
      <c r="F41" t="s">
        <v>45</v>
      </c>
      <c r="H41" t="s">
        <v>45</v>
      </c>
      <c r="J41" t="s">
        <v>45</v>
      </c>
      <c r="L41" t="s">
        <v>45</v>
      </c>
      <c r="N41" t="s">
        <v>45</v>
      </c>
      <c r="P41" t="s">
        <v>45</v>
      </c>
      <c r="R41" t="s">
        <v>45</v>
      </c>
      <c r="T41" t="s">
        <v>45</v>
      </c>
      <c r="V41" t="s">
        <v>45</v>
      </c>
      <c r="X41" t="s">
        <v>45</v>
      </c>
      <c r="Z41" t="s">
        <v>45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3:44" x14ac:dyDescent="0.2">
      <c r="C42" s="2" t="s">
        <v>40</v>
      </c>
      <c r="D42" t="s">
        <v>45</v>
      </c>
      <c r="F42" t="s">
        <v>45</v>
      </c>
      <c r="H42" t="s">
        <v>45</v>
      </c>
      <c r="J42" t="s">
        <v>45</v>
      </c>
      <c r="L42" t="s">
        <v>45</v>
      </c>
      <c r="N42" t="s">
        <v>45</v>
      </c>
      <c r="P42" t="s">
        <v>45</v>
      </c>
      <c r="R42" t="s">
        <v>45</v>
      </c>
      <c r="T42" t="s">
        <v>45</v>
      </c>
      <c r="V42" t="s">
        <v>45</v>
      </c>
      <c r="X42" t="s">
        <v>45</v>
      </c>
      <c r="Z42" t="s">
        <v>45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3:44" x14ac:dyDescent="0.2">
      <c r="C43" s="2" t="s">
        <v>41</v>
      </c>
      <c r="D43" t="s">
        <v>45</v>
      </c>
      <c r="F43" t="s">
        <v>45</v>
      </c>
      <c r="H43" t="s">
        <v>45</v>
      </c>
      <c r="J43" t="s">
        <v>45</v>
      </c>
      <c r="L43" t="s">
        <v>45</v>
      </c>
      <c r="N43" t="s">
        <v>45</v>
      </c>
      <c r="P43" t="s">
        <v>45</v>
      </c>
      <c r="R43" t="s">
        <v>45</v>
      </c>
      <c r="T43" t="s">
        <v>45</v>
      </c>
      <c r="V43" t="s">
        <v>45</v>
      </c>
      <c r="X43" t="s">
        <v>45</v>
      </c>
      <c r="Z43" t="s">
        <v>45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3:44" x14ac:dyDescent="0.2">
      <c r="C44" s="2" t="s">
        <v>42</v>
      </c>
      <c r="D44" t="s">
        <v>45</v>
      </c>
      <c r="F44" t="s">
        <v>45</v>
      </c>
      <c r="H44" t="s">
        <v>45</v>
      </c>
      <c r="J44" t="s">
        <v>45</v>
      </c>
      <c r="L44" t="s">
        <v>45</v>
      </c>
      <c r="N44" t="s">
        <v>45</v>
      </c>
      <c r="P44" t="s">
        <v>45</v>
      </c>
      <c r="R44" t="s">
        <v>45</v>
      </c>
      <c r="T44" t="s">
        <v>45</v>
      </c>
      <c r="V44" t="s">
        <v>45</v>
      </c>
      <c r="X44" t="s">
        <v>45</v>
      </c>
      <c r="Z44" t="s">
        <v>45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3:44" x14ac:dyDescent="0.2">
      <c r="C45" s="2" t="s">
        <v>43</v>
      </c>
      <c r="D45" t="s">
        <v>45</v>
      </c>
      <c r="F45" t="s">
        <v>45</v>
      </c>
      <c r="H45" t="s">
        <v>45</v>
      </c>
      <c r="J45" t="s">
        <v>45</v>
      </c>
      <c r="L45" t="s">
        <v>45</v>
      </c>
      <c r="N45" t="s">
        <v>45</v>
      </c>
      <c r="P45" t="s">
        <v>45</v>
      </c>
      <c r="R45" t="s">
        <v>45</v>
      </c>
      <c r="T45" t="s">
        <v>45</v>
      </c>
      <c r="V45" t="s">
        <v>45</v>
      </c>
      <c r="X45" t="s">
        <v>45</v>
      </c>
      <c r="Z45" t="s">
        <v>45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3:44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3:44" x14ac:dyDescent="0.2">
      <c r="C47" s="2" t="s">
        <v>36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3:44" x14ac:dyDescent="0.2">
      <c r="C48" s="2" t="s">
        <v>47</v>
      </c>
      <c r="D48" s="2">
        <f>COUNTIF(D31:Z45,"sf")</f>
        <v>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x14ac:dyDescent="0.2">
      <c r="C49" s="2" t="s">
        <v>46</v>
      </c>
      <c r="D49" s="2">
        <f>COUNTIF(D31:Z45,"cf")</f>
        <v>174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x14ac:dyDescent="0.2">
      <c r="C53" s="2"/>
      <c r="D53" s="2" t="s">
        <v>47</v>
      </c>
      <c r="E53" s="2" t="s">
        <v>46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x14ac:dyDescent="0.2">
      <c r="C54" s="2" t="s">
        <v>37</v>
      </c>
      <c r="D54" s="2">
        <f>(D24/180)*100</f>
        <v>61.111111111111114</v>
      </c>
      <c r="E54" s="2">
        <f>(D25/180)*100</f>
        <v>38.888888888888893</v>
      </c>
    </row>
    <row r="55" spans="3:44" x14ac:dyDescent="0.2">
      <c r="C55" s="2" t="s">
        <v>38</v>
      </c>
      <c r="D55" s="2">
        <f>(D48/180)*100</f>
        <v>3.3333333333333335</v>
      </c>
      <c r="E55" s="2">
        <f>(D49/180)*100</f>
        <v>96.666666666666671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B9B-7CA1-A74F-9E11-CDA745794581}">
  <dimension ref="C4:AR55"/>
  <sheetViews>
    <sheetView topLeftCell="A30" workbookViewId="0">
      <selection activeCell="E56" sqref="E56"/>
    </sheetView>
  </sheetViews>
  <sheetFormatPr baseColWidth="10" defaultRowHeight="16" x14ac:dyDescent="0.2"/>
  <sheetData>
    <row r="4" spans="3:44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3:44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3:44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3:44" x14ac:dyDescent="0.2">
      <c r="C7" s="2" t="s">
        <v>0</v>
      </c>
      <c r="D7" t="s">
        <v>44</v>
      </c>
      <c r="F7" t="s">
        <v>44</v>
      </c>
      <c r="H7" t="s">
        <v>44</v>
      </c>
      <c r="J7" t="s">
        <v>44</v>
      </c>
      <c r="L7" t="s">
        <v>45</v>
      </c>
      <c r="N7" t="s">
        <v>44</v>
      </c>
      <c r="P7" t="s">
        <v>44</v>
      </c>
      <c r="R7" t="s">
        <v>45</v>
      </c>
      <c r="T7" t="s">
        <v>44</v>
      </c>
      <c r="V7" t="s">
        <v>45</v>
      </c>
      <c r="X7" t="s">
        <v>44</v>
      </c>
      <c r="Z7" t="s">
        <v>45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3:44" x14ac:dyDescent="0.2">
      <c r="C8" s="2" t="s">
        <v>1</v>
      </c>
      <c r="D8" t="s">
        <v>44</v>
      </c>
      <c r="F8" t="s">
        <v>45</v>
      </c>
      <c r="H8" t="s">
        <v>44</v>
      </c>
      <c r="J8" t="s">
        <v>44</v>
      </c>
      <c r="L8" t="s">
        <v>45</v>
      </c>
      <c r="N8" t="s">
        <v>44</v>
      </c>
      <c r="P8" t="s">
        <v>44</v>
      </c>
      <c r="R8" t="s">
        <v>44</v>
      </c>
      <c r="T8" t="s">
        <v>45</v>
      </c>
      <c r="V8" t="s">
        <v>44</v>
      </c>
      <c r="X8" t="s">
        <v>45</v>
      </c>
      <c r="Z8" t="s">
        <v>44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3:44" x14ac:dyDescent="0.2">
      <c r="C9" s="2" t="s">
        <v>2</v>
      </c>
      <c r="D9" t="s">
        <v>44</v>
      </c>
      <c r="F9" t="s">
        <v>44</v>
      </c>
      <c r="H9" t="s">
        <v>44</v>
      </c>
      <c r="J9" t="s">
        <v>44</v>
      </c>
      <c r="L9" t="s">
        <v>44</v>
      </c>
      <c r="N9" t="s">
        <v>44</v>
      </c>
      <c r="P9" t="s">
        <v>44</v>
      </c>
      <c r="R9" t="s">
        <v>44</v>
      </c>
      <c r="T9" t="s">
        <v>44</v>
      </c>
      <c r="V9" t="s">
        <v>44</v>
      </c>
      <c r="X9" t="s">
        <v>44</v>
      </c>
      <c r="Z9" t="s">
        <v>44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3:44" x14ac:dyDescent="0.2">
      <c r="C10" s="2" t="s">
        <v>3</v>
      </c>
      <c r="D10" t="s">
        <v>44</v>
      </c>
      <c r="F10" t="s">
        <v>44</v>
      </c>
      <c r="H10" t="s">
        <v>44</v>
      </c>
      <c r="J10" t="s">
        <v>45</v>
      </c>
      <c r="L10" t="s">
        <v>44</v>
      </c>
      <c r="N10" t="s">
        <v>44</v>
      </c>
      <c r="P10" t="s">
        <v>44</v>
      </c>
      <c r="R10" t="s">
        <v>44</v>
      </c>
      <c r="T10" t="s">
        <v>44</v>
      </c>
      <c r="V10" t="s">
        <v>44</v>
      </c>
      <c r="X10" t="s">
        <v>44</v>
      </c>
      <c r="Z10" t="s">
        <v>44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3:44" x14ac:dyDescent="0.2">
      <c r="C11" s="2" t="s">
        <v>4</v>
      </c>
      <c r="D11" t="s">
        <v>45</v>
      </c>
      <c r="F11" t="s">
        <v>45</v>
      </c>
      <c r="H11" t="s">
        <v>45</v>
      </c>
      <c r="J11" t="s">
        <v>44</v>
      </c>
      <c r="L11" t="s">
        <v>45</v>
      </c>
      <c r="N11" t="s">
        <v>44</v>
      </c>
      <c r="P11" t="s">
        <v>45</v>
      </c>
      <c r="R11" t="s">
        <v>45</v>
      </c>
      <c r="T11" t="s">
        <v>45</v>
      </c>
      <c r="V11" t="s">
        <v>45</v>
      </c>
      <c r="X11" t="s">
        <v>45</v>
      </c>
      <c r="Z11" t="s">
        <v>45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3:44" x14ac:dyDescent="0.2">
      <c r="C12" s="2" t="s">
        <v>5</v>
      </c>
      <c r="D12" t="s">
        <v>44</v>
      </c>
      <c r="F12" t="s">
        <v>45</v>
      </c>
      <c r="H12" t="s">
        <v>44</v>
      </c>
      <c r="J12" t="s">
        <v>44</v>
      </c>
      <c r="L12" t="s">
        <v>45</v>
      </c>
      <c r="N12" t="s">
        <v>44</v>
      </c>
      <c r="P12" t="s">
        <v>45</v>
      </c>
      <c r="R12" t="s">
        <v>45</v>
      </c>
      <c r="T12" t="s">
        <v>45</v>
      </c>
      <c r="V12" t="s">
        <v>45</v>
      </c>
      <c r="X12" t="s">
        <v>45</v>
      </c>
      <c r="Z12" t="s">
        <v>44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3:44" x14ac:dyDescent="0.2">
      <c r="C13" s="2" t="s">
        <v>6</v>
      </c>
      <c r="D13" t="s">
        <v>44</v>
      </c>
      <c r="F13" t="s">
        <v>44</v>
      </c>
      <c r="H13" t="s">
        <v>44</v>
      </c>
      <c r="J13" t="s">
        <v>44</v>
      </c>
      <c r="L13" t="s">
        <v>44</v>
      </c>
      <c r="N13" t="s">
        <v>44</v>
      </c>
      <c r="P13" t="s">
        <v>44</v>
      </c>
      <c r="R13" t="s">
        <v>44</v>
      </c>
      <c r="T13" t="s">
        <v>44</v>
      </c>
      <c r="V13" t="s">
        <v>44</v>
      </c>
      <c r="X13" t="s">
        <v>44</v>
      </c>
      <c r="Z13" t="s">
        <v>44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3:44" x14ac:dyDescent="0.2">
      <c r="C14" s="2" t="s">
        <v>7</v>
      </c>
      <c r="D14" t="s">
        <v>44</v>
      </c>
      <c r="F14" t="s">
        <v>44</v>
      </c>
      <c r="H14" t="s">
        <v>44</v>
      </c>
      <c r="J14" t="s">
        <v>44</v>
      </c>
      <c r="L14" t="s">
        <v>45</v>
      </c>
      <c r="N14" t="s">
        <v>45</v>
      </c>
      <c r="P14" t="s">
        <v>44</v>
      </c>
      <c r="R14" t="s">
        <v>44</v>
      </c>
      <c r="T14" t="s">
        <v>44</v>
      </c>
      <c r="V14" t="s">
        <v>44</v>
      </c>
      <c r="X14" t="s">
        <v>44</v>
      </c>
      <c r="Z14" t="s">
        <v>44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3:44" x14ac:dyDescent="0.2">
      <c r="C15" s="2" t="s">
        <v>8</v>
      </c>
      <c r="D15" t="s">
        <v>44</v>
      </c>
      <c r="F15" t="s">
        <v>44</v>
      </c>
      <c r="H15" t="s">
        <v>44</v>
      </c>
      <c r="J15" t="s">
        <v>44</v>
      </c>
      <c r="L15" t="s">
        <v>45</v>
      </c>
      <c r="N15" t="s">
        <v>44</v>
      </c>
      <c r="P15" t="s">
        <v>44</v>
      </c>
      <c r="R15" t="s">
        <v>44</v>
      </c>
      <c r="T15" t="s">
        <v>44</v>
      </c>
      <c r="V15" t="s">
        <v>44</v>
      </c>
      <c r="X15" t="s">
        <v>44</v>
      </c>
      <c r="Z15" t="s">
        <v>44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3:44" x14ac:dyDescent="0.2">
      <c r="C16" s="2" t="s">
        <v>9</v>
      </c>
      <c r="D16" t="s">
        <v>45</v>
      </c>
      <c r="F16" t="s">
        <v>45</v>
      </c>
      <c r="H16" t="s">
        <v>45</v>
      </c>
      <c r="J16" t="s">
        <v>45</v>
      </c>
      <c r="L16" t="s">
        <v>45</v>
      </c>
      <c r="N16" t="s">
        <v>44</v>
      </c>
      <c r="P16" t="s">
        <v>44</v>
      </c>
      <c r="R16" t="s">
        <v>45</v>
      </c>
      <c r="T16" t="s">
        <v>44</v>
      </c>
      <c r="V16" t="s">
        <v>44</v>
      </c>
      <c r="X16" t="s">
        <v>44</v>
      </c>
      <c r="Z16" t="s">
        <v>44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3:44" x14ac:dyDescent="0.2">
      <c r="C17" s="2" t="s">
        <v>39</v>
      </c>
      <c r="D17" t="s">
        <v>44</v>
      </c>
      <c r="F17" t="s">
        <v>44</v>
      </c>
      <c r="H17" t="s">
        <v>44</v>
      </c>
      <c r="J17" t="s">
        <v>44</v>
      </c>
      <c r="L17" t="s">
        <v>44</v>
      </c>
      <c r="N17" t="s">
        <v>44</v>
      </c>
      <c r="P17" t="s">
        <v>44</v>
      </c>
      <c r="R17" t="s">
        <v>44</v>
      </c>
      <c r="T17" t="s">
        <v>44</v>
      </c>
      <c r="V17" t="s">
        <v>44</v>
      </c>
      <c r="X17" t="s">
        <v>44</v>
      </c>
      <c r="Z17" t="s">
        <v>44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3:44" x14ac:dyDescent="0.2">
      <c r="C18" s="2" t="s">
        <v>40</v>
      </c>
      <c r="D18" t="s">
        <v>44</v>
      </c>
      <c r="F18" t="s">
        <v>44</v>
      </c>
      <c r="H18" t="s">
        <v>44</v>
      </c>
      <c r="J18" t="s">
        <v>44</v>
      </c>
      <c r="L18" t="s">
        <v>44</v>
      </c>
      <c r="N18" t="s">
        <v>44</v>
      </c>
      <c r="P18" t="s">
        <v>44</v>
      </c>
      <c r="R18" t="s">
        <v>44</v>
      </c>
      <c r="T18" t="s">
        <v>44</v>
      </c>
      <c r="V18" t="s">
        <v>44</v>
      </c>
      <c r="X18" t="s">
        <v>44</v>
      </c>
      <c r="Z18" t="s">
        <v>44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3:44" x14ac:dyDescent="0.2">
      <c r="C19" s="2" t="s">
        <v>41</v>
      </c>
      <c r="D19" t="s">
        <v>44</v>
      </c>
      <c r="F19" t="s">
        <v>44</v>
      </c>
      <c r="H19" t="s">
        <v>45</v>
      </c>
      <c r="J19" t="s">
        <v>44</v>
      </c>
      <c r="L19" t="s">
        <v>44</v>
      </c>
      <c r="N19" t="s">
        <v>44</v>
      </c>
      <c r="P19" t="s">
        <v>45</v>
      </c>
      <c r="R19" t="s">
        <v>44</v>
      </c>
      <c r="T19" t="s">
        <v>44</v>
      </c>
      <c r="V19" t="s">
        <v>44</v>
      </c>
      <c r="X19" t="s">
        <v>44</v>
      </c>
      <c r="Z19" t="s">
        <v>44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3:44" x14ac:dyDescent="0.2">
      <c r="C20" s="2" t="s">
        <v>42</v>
      </c>
      <c r="D20" t="s">
        <v>44</v>
      </c>
      <c r="F20" t="s">
        <v>45</v>
      </c>
      <c r="H20" t="s">
        <v>44</v>
      </c>
      <c r="J20" t="s">
        <v>44</v>
      </c>
      <c r="L20" t="s">
        <v>45</v>
      </c>
      <c r="N20" t="s">
        <v>44</v>
      </c>
      <c r="P20" t="s">
        <v>45</v>
      </c>
      <c r="R20" t="s">
        <v>45</v>
      </c>
      <c r="T20" t="s">
        <v>44</v>
      </c>
      <c r="V20" t="s">
        <v>44</v>
      </c>
      <c r="X20" t="s">
        <v>44</v>
      </c>
      <c r="Z20" t="s">
        <v>44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3:44" x14ac:dyDescent="0.2">
      <c r="C21" s="2" t="s">
        <v>43</v>
      </c>
      <c r="D21" t="s">
        <v>44</v>
      </c>
      <c r="F21" t="s">
        <v>44</v>
      </c>
      <c r="H21" t="s">
        <v>44</v>
      </c>
      <c r="J21" t="s">
        <v>44</v>
      </c>
      <c r="L21" t="s">
        <v>44</v>
      </c>
      <c r="N21" t="s">
        <v>44</v>
      </c>
      <c r="P21" t="s">
        <v>44</v>
      </c>
      <c r="R21" t="s">
        <v>44</v>
      </c>
      <c r="T21" t="s">
        <v>44</v>
      </c>
      <c r="V21" t="s">
        <v>44</v>
      </c>
      <c r="X21" t="s">
        <v>44</v>
      </c>
      <c r="Z21" t="s">
        <v>44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3:44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3:44" x14ac:dyDescent="0.2">
      <c r="C23" s="2" t="s">
        <v>36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3:44" x14ac:dyDescent="0.2">
      <c r="C24" s="2" t="s">
        <v>47</v>
      </c>
      <c r="D24" s="2">
        <f>COUNTIF(D7:Z21,"sf")</f>
        <v>139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3:44" x14ac:dyDescent="0.2">
      <c r="C25" s="2" t="s">
        <v>46</v>
      </c>
      <c r="D25" s="2">
        <f>COUNTIF(D7:Z21,"cf")</f>
        <v>41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3:44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3:44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3:44" x14ac:dyDescent="0.2">
      <c r="C28" s="1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3:44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3:44" x14ac:dyDescent="0.2">
      <c r="C30" s="2"/>
      <c r="D30" s="2" t="s">
        <v>24</v>
      </c>
      <c r="E30" s="2"/>
      <c r="F30" s="2" t="s">
        <v>25</v>
      </c>
      <c r="G30" s="2"/>
      <c r="H30" s="2" t="s">
        <v>26</v>
      </c>
      <c r="I30" s="2"/>
      <c r="J30" s="2" t="s">
        <v>27</v>
      </c>
      <c r="K30" s="2"/>
      <c r="L30" s="2" t="s">
        <v>28</v>
      </c>
      <c r="M30" s="2"/>
      <c r="N30" s="2" t="s">
        <v>29</v>
      </c>
      <c r="O30" s="2"/>
      <c r="P30" s="2" t="s">
        <v>30</v>
      </c>
      <c r="Q30" s="2"/>
      <c r="R30" s="2" t="s">
        <v>31</v>
      </c>
      <c r="S30" s="2"/>
      <c r="T30" s="2" t="s">
        <v>32</v>
      </c>
      <c r="U30" s="2"/>
      <c r="V30" s="2" t="s">
        <v>33</v>
      </c>
      <c r="W30" s="2"/>
      <c r="X30" s="2" t="s">
        <v>34</v>
      </c>
      <c r="Y30" s="2"/>
      <c r="Z30" s="2" t="s">
        <v>35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3:44" x14ac:dyDescent="0.2">
      <c r="C31" s="2" t="s">
        <v>0</v>
      </c>
      <c r="D31" t="s">
        <v>45</v>
      </c>
      <c r="F31" t="s">
        <v>45</v>
      </c>
      <c r="H31" t="s">
        <v>45</v>
      </c>
      <c r="J31" t="s">
        <v>45</v>
      </c>
      <c r="L31" t="s">
        <v>45</v>
      </c>
      <c r="N31" t="s">
        <v>45</v>
      </c>
      <c r="P31" t="s">
        <v>45</v>
      </c>
      <c r="R31" t="s">
        <v>45</v>
      </c>
      <c r="T31" t="s">
        <v>45</v>
      </c>
      <c r="V31" t="s">
        <v>45</v>
      </c>
      <c r="X31" t="s">
        <v>45</v>
      </c>
      <c r="Z31" t="s">
        <v>45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3:44" x14ac:dyDescent="0.2">
      <c r="C32" s="2" t="s">
        <v>1</v>
      </c>
      <c r="D32" t="s">
        <v>45</v>
      </c>
      <c r="F32" t="s">
        <v>44</v>
      </c>
      <c r="H32" t="s">
        <v>44</v>
      </c>
      <c r="J32" t="s">
        <v>45</v>
      </c>
      <c r="L32" t="s">
        <v>45</v>
      </c>
      <c r="N32" t="s">
        <v>44</v>
      </c>
      <c r="P32" t="s">
        <v>44</v>
      </c>
      <c r="R32" t="s">
        <v>45</v>
      </c>
      <c r="T32" t="s">
        <v>45</v>
      </c>
      <c r="V32" t="s">
        <v>44</v>
      </c>
      <c r="X32" t="s">
        <v>44</v>
      </c>
      <c r="Z32" t="s">
        <v>44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3:44" x14ac:dyDescent="0.2">
      <c r="C33" s="2" t="s">
        <v>2</v>
      </c>
      <c r="D33" t="s">
        <v>45</v>
      </c>
      <c r="F33" t="s">
        <v>45</v>
      </c>
      <c r="H33" t="s">
        <v>45</v>
      </c>
      <c r="J33" t="s">
        <v>45</v>
      </c>
      <c r="L33" t="s">
        <v>45</v>
      </c>
      <c r="N33" t="s">
        <v>45</v>
      </c>
      <c r="P33" t="s">
        <v>45</v>
      </c>
      <c r="R33" t="s">
        <v>45</v>
      </c>
      <c r="T33" t="s">
        <v>45</v>
      </c>
      <c r="V33" t="s">
        <v>45</v>
      </c>
      <c r="X33" t="s">
        <v>45</v>
      </c>
      <c r="Z33" t="s">
        <v>45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3:44" x14ac:dyDescent="0.2">
      <c r="C34" s="2" t="s">
        <v>3</v>
      </c>
      <c r="D34" t="s">
        <v>45</v>
      </c>
      <c r="F34" t="s">
        <v>45</v>
      </c>
      <c r="H34" t="s">
        <v>45</v>
      </c>
      <c r="J34" t="s">
        <v>45</v>
      </c>
      <c r="L34" t="s">
        <v>45</v>
      </c>
      <c r="N34" t="s">
        <v>45</v>
      </c>
      <c r="P34" t="s">
        <v>44</v>
      </c>
      <c r="R34" t="s">
        <v>45</v>
      </c>
      <c r="T34" t="s">
        <v>45</v>
      </c>
      <c r="V34" t="s">
        <v>45</v>
      </c>
      <c r="X34" t="s">
        <v>45</v>
      </c>
      <c r="Z34" t="s">
        <v>44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3:44" x14ac:dyDescent="0.2">
      <c r="C35" s="2" t="s">
        <v>4</v>
      </c>
      <c r="D35" t="s">
        <v>45</v>
      </c>
      <c r="F35" t="s">
        <v>45</v>
      </c>
      <c r="H35" t="s">
        <v>45</v>
      </c>
      <c r="J35" t="s">
        <v>45</v>
      </c>
      <c r="L35" t="s">
        <v>45</v>
      </c>
      <c r="N35" t="s">
        <v>45</v>
      </c>
      <c r="P35" t="s">
        <v>45</v>
      </c>
      <c r="R35" t="s">
        <v>45</v>
      </c>
      <c r="T35" t="s">
        <v>45</v>
      </c>
      <c r="V35" t="s">
        <v>45</v>
      </c>
      <c r="X35" t="s">
        <v>45</v>
      </c>
      <c r="Z35" t="s">
        <v>45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3:44" x14ac:dyDescent="0.2">
      <c r="C36" s="2" t="s">
        <v>5</v>
      </c>
      <c r="D36" t="s">
        <v>45</v>
      </c>
      <c r="F36" t="s">
        <v>45</v>
      </c>
      <c r="H36" t="s">
        <v>45</v>
      </c>
      <c r="J36" t="s">
        <v>45</v>
      </c>
      <c r="L36" t="s">
        <v>45</v>
      </c>
      <c r="N36" t="s">
        <v>45</v>
      </c>
      <c r="P36" t="s">
        <v>45</v>
      </c>
      <c r="R36" t="s">
        <v>45</v>
      </c>
      <c r="T36" t="s">
        <v>45</v>
      </c>
      <c r="V36" t="s">
        <v>45</v>
      </c>
      <c r="X36" t="s">
        <v>45</v>
      </c>
      <c r="Z36" t="s">
        <v>45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3:44" x14ac:dyDescent="0.2">
      <c r="C37" s="2" t="s">
        <v>6</v>
      </c>
      <c r="D37" t="s">
        <v>45</v>
      </c>
      <c r="F37" t="s">
        <v>45</v>
      </c>
      <c r="H37" t="s">
        <v>45</v>
      </c>
      <c r="J37" t="s">
        <v>45</v>
      </c>
      <c r="L37" t="s">
        <v>45</v>
      </c>
      <c r="N37" t="s">
        <v>45</v>
      </c>
      <c r="P37" t="s">
        <v>45</v>
      </c>
      <c r="R37" t="s">
        <v>45</v>
      </c>
      <c r="T37" t="s">
        <v>45</v>
      </c>
      <c r="V37" t="s">
        <v>45</v>
      </c>
      <c r="X37" t="s">
        <v>45</v>
      </c>
      <c r="Z37" t="s">
        <v>45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3:44" x14ac:dyDescent="0.2">
      <c r="C38" s="2" t="s">
        <v>7</v>
      </c>
      <c r="D38" t="s">
        <v>45</v>
      </c>
      <c r="F38" t="s">
        <v>45</v>
      </c>
      <c r="H38" t="s">
        <v>45</v>
      </c>
      <c r="J38" t="s">
        <v>45</v>
      </c>
      <c r="L38" t="s">
        <v>45</v>
      </c>
      <c r="N38" t="s">
        <v>45</v>
      </c>
      <c r="P38" t="s">
        <v>45</v>
      </c>
      <c r="R38" t="s">
        <v>45</v>
      </c>
      <c r="T38" t="s">
        <v>45</v>
      </c>
      <c r="V38" t="s">
        <v>45</v>
      </c>
      <c r="X38" t="s">
        <v>45</v>
      </c>
      <c r="Z38" t="s">
        <v>45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3:44" x14ac:dyDescent="0.2">
      <c r="C39" s="2" t="s">
        <v>8</v>
      </c>
      <c r="D39" t="s">
        <v>45</v>
      </c>
      <c r="F39" t="s">
        <v>45</v>
      </c>
      <c r="H39" t="s">
        <v>45</v>
      </c>
      <c r="J39" t="s">
        <v>45</v>
      </c>
      <c r="L39" t="s">
        <v>45</v>
      </c>
      <c r="N39" t="s">
        <v>45</v>
      </c>
      <c r="P39" t="s">
        <v>45</v>
      </c>
      <c r="R39" t="s">
        <v>45</v>
      </c>
      <c r="T39" t="s">
        <v>45</v>
      </c>
      <c r="V39" t="s">
        <v>45</v>
      </c>
      <c r="X39" t="s">
        <v>45</v>
      </c>
      <c r="Z39" t="s">
        <v>45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3:44" x14ac:dyDescent="0.2">
      <c r="C40" s="2" t="s">
        <v>9</v>
      </c>
      <c r="D40" t="s">
        <v>45</v>
      </c>
      <c r="F40" t="s">
        <v>45</v>
      </c>
      <c r="H40" t="s">
        <v>44</v>
      </c>
      <c r="J40" t="s">
        <v>45</v>
      </c>
      <c r="L40" t="s">
        <v>45</v>
      </c>
      <c r="N40" t="s">
        <v>45</v>
      </c>
      <c r="P40" t="s">
        <v>45</v>
      </c>
      <c r="R40" t="s">
        <v>45</v>
      </c>
      <c r="T40" t="s">
        <v>45</v>
      </c>
      <c r="V40" t="s">
        <v>45</v>
      </c>
      <c r="X40" t="s">
        <v>45</v>
      </c>
      <c r="Z40" t="s">
        <v>45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3:44" x14ac:dyDescent="0.2">
      <c r="C41" s="2" t="s">
        <v>39</v>
      </c>
      <c r="D41" t="s">
        <v>45</v>
      </c>
      <c r="F41" t="s">
        <v>45</v>
      </c>
      <c r="H41" t="s">
        <v>45</v>
      </c>
      <c r="J41" t="s">
        <v>45</v>
      </c>
      <c r="L41" t="s">
        <v>45</v>
      </c>
      <c r="N41" t="s">
        <v>45</v>
      </c>
      <c r="P41" t="s">
        <v>44</v>
      </c>
      <c r="R41" t="s">
        <v>45</v>
      </c>
      <c r="T41" t="s">
        <v>45</v>
      </c>
      <c r="V41" t="s">
        <v>45</v>
      </c>
      <c r="X41" t="s">
        <v>45</v>
      </c>
      <c r="Z41" t="s">
        <v>45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3:44" x14ac:dyDescent="0.2">
      <c r="C42" s="2" t="s">
        <v>40</v>
      </c>
      <c r="D42" t="s">
        <v>45</v>
      </c>
      <c r="F42" t="s">
        <v>45</v>
      </c>
      <c r="H42" t="s">
        <v>45</v>
      </c>
      <c r="J42" t="s">
        <v>45</v>
      </c>
      <c r="L42" t="s">
        <v>45</v>
      </c>
      <c r="N42" t="s">
        <v>45</v>
      </c>
      <c r="P42" t="s">
        <v>45</v>
      </c>
      <c r="R42" t="s">
        <v>45</v>
      </c>
      <c r="T42" t="s">
        <v>44</v>
      </c>
      <c r="V42" t="s">
        <v>45</v>
      </c>
      <c r="X42" t="s">
        <v>45</v>
      </c>
      <c r="Z42" t="s">
        <v>45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3:44" x14ac:dyDescent="0.2">
      <c r="C43" s="2" t="s">
        <v>41</v>
      </c>
      <c r="D43" t="s">
        <v>45</v>
      </c>
      <c r="F43" t="s">
        <v>45</v>
      </c>
      <c r="H43" t="s">
        <v>45</v>
      </c>
      <c r="J43" t="s">
        <v>44</v>
      </c>
      <c r="L43" t="s">
        <v>45</v>
      </c>
      <c r="N43" t="s">
        <v>45</v>
      </c>
      <c r="P43" t="s">
        <v>45</v>
      </c>
      <c r="R43" t="s">
        <v>45</v>
      </c>
      <c r="T43" t="s">
        <v>45</v>
      </c>
      <c r="V43" t="s">
        <v>45</v>
      </c>
      <c r="X43" t="s">
        <v>45</v>
      </c>
      <c r="Z43" t="s">
        <v>45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3:44" x14ac:dyDescent="0.2">
      <c r="C44" s="2" t="s">
        <v>42</v>
      </c>
      <c r="D44" t="s">
        <v>45</v>
      </c>
      <c r="F44" t="s">
        <v>45</v>
      </c>
      <c r="H44" t="s">
        <v>45</v>
      </c>
      <c r="J44" t="s">
        <v>45</v>
      </c>
      <c r="L44" t="s">
        <v>45</v>
      </c>
      <c r="N44" t="s">
        <v>45</v>
      </c>
      <c r="P44" t="s">
        <v>45</v>
      </c>
      <c r="R44" t="s">
        <v>45</v>
      </c>
      <c r="T44" t="s">
        <v>45</v>
      </c>
      <c r="V44" t="s">
        <v>45</v>
      </c>
      <c r="X44" t="s">
        <v>45</v>
      </c>
      <c r="Z44" t="s">
        <v>45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3:44" x14ac:dyDescent="0.2">
      <c r="C45" s="2" t="s">
        <v>43</v>
      </c>
      <c r="D45" t="s">
        <v>45</v>
      </c>
      <c r="F45" t="s">
        <v>45</v>
      </c>
      <c r="H45" t="s">
        <v>45</v>
      </c>
      <c r="J45" t="s">
        <v>45</v>
      </c>
      <c r="L45" t="s">
        <v>45</v>
      </c>
      <c r="N45" t="s">
        <v>45</v>
      </c>
      <c r="P45" t="s">
        <v>45</v>
      </c>
      <c r="R45" t="s">
        <v>45</v>
      </c>
      <c r="T45" t="s">
        <v>45</v>
      </c>
      <c r="V45" t="s">
        <v>45</v>
      </c>
      <c r="X45" t="s">
        <v>45</v>
      </c>
      <c r="Z45" t="s">
        <v>45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3:44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3:44" x14ac:dyDescent="0.2">
      <c r="C47" s="2" t="s">
        <v>36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3:44" x14ac:dyDescent="0.2">
      <c r="C48" s="2" t="s">
        <v>47</v>
      </c>
      <c r="D48" s="2">
        <f>COUNTIF(D31:Z45,"sf")</f>
        <v>13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x14ac:dyDescent="0.2">
      <c r="C49" s="2" t="s">
        <v>46</v>
      </c>
      <c r="D49" s="2">
        <f>COUNTIF(D31:Z45,"cf")</f>
        <v>167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x14ac:dyDescent="0.2">
      <c r="C53" s="2"/>
      <c r="D53" s="2" t="s">
        <v>47</v>
      </c>
      <c r="E53" s="2" t="s">
        <v>46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x14ac:dyDescent="0.2">
      <c r="C54" s="2" t="s">
        <v>37</v>
      </c>
      <c r="D54" s="2">
        <f>(D24/180)*100</f>
        <v>77.222222222222229</v>
      </c>
      <c r="E54" s="2">
        <f>(D25/180)*100</f>
        <v>22.777777777777779</v>
      </c>
    </row>
    <row r="55" spans="3:44" x14ac:dyDescent="0.2">
      <c r="C55" s="2" t="s">
        <v>38</v>
      </c>
      <c r="D55" s="2">
        <f>(D48/180)*100</f>
        <v>7.2222222222222214</v>
      </c>
      <c r="E55" s="2">
        <f>(D49/180)*100</f>
        <v>92.777777777777786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B676-F772-3B43-B340-BDDE0E54F095}">
  <dimension ref="B2:D4"/>
  <sheetViews>
    <sheetView tabSelected="1" workbookViewId="0">
      <selection activeCell="M11" sqref="M11"/>
    </sheetView>
  </sheetViews>
  <sheetFormatPr baseColWidth="10" defaultRowHeight="16" x14ac:dyDescent="0.2"/>
  <sheetData>
    <row r="2" spans="2:4" x14ac:dyDescent="0.2">
      <c r="C2" t="s">
        <v>47</v>
      </c>
      <c r="D2" t="s">
        <v>46</v>
      </c>
    </row>
    <row r="3" spans="2:4" x14ac:dyDescent="0.2">
      <c r="B3" t="s">
        <v>37</v>
      </c>
      <c r="C3">
        <f>AVERAGE(CF_First!D54,SF_First!D54)</f>
        <v>69.166666666666671</v>
      </c>
      <c r="D3">
        <f>AVERAGE(CF_First!E54,SF_First!E54)</f>
        <v>30.833333333333336</v>
      </c>
    </row>
    <row r="4" spans="2:4" x14ac:dyDescent="0.2">
      <c r="B4" t="s">
        <v>38</v>
      </c>
      <c r="C4">
        <f>AVERAGE(CF_First!D55,SF_First!D55)</f>
        <v>5.2777777777777777</v>
      </c>
      <c r="D4">
        <f>AVERAGE(CF_First!E55,SF_First!E55)</f>
        <v>94.722222222222229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SF_First</vt:lpstr>
      <vt:lpstr>CF_First</vt:lpstr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Saugat Aryal</cp:lastModifiedBy>
  <dcterms:created xsi:type="dcterms:W3CDTF">2025-07-04T14:10:58Z</dcterms:created>
  <dcterms:modified xsi:type="dcterms:W3CDTF">2026-04-29T16:29:24Z</dcterms:modified>
</cp:coreProperties>
</file>