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ugat/Desktop/SF_User_Studies/sf_cf_single_feedback/"/>
    </mc:Choice>
  </mc:AlternateContent>
  <xr:revisionPtr revIDLastSave="0" documentId="13_ncr:1_{E62E0B52-9167-0940-9D88-4639B54580D0}" xr6:coauthVersionLast="47" xr6:coauthVersionMax="47" xr10:uidLastSave="{00000000-0000-0000-0000-000000000000}"/>
  <bookViews>
    <workbookView xWindow="31700" yWindow="6400" windowWidth="27640" windowHeight="15440" xr2:uid="{CB38CAC6-CA62-874F-9714-16D6967CA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23" i="1" l="1"/>
  <c r="AF23" i="1"/>
  <c r="AH50" i="1"/>
  <c r="AF50" i="1"/>
  <c r="AD50" i="1"/>
  <c r="AB50" i="1"/>
  <c r="Z50" i="1"/>
  <c r="X50" i="1"/>
  <c r="V50" i="1"/>
  <c r="T50" i="1"/>
  <c r="R50" i="1"/>
  <c r="P50" i="1"/>
  <c r="N50" i="1"/>
  <c r="L50" i="1"/>
  <c r="J50" i="1"/>
  <c r="H50" i="1"/>
  <c r="F50" i="1"/>
  <c r="D50" i="1"/>
  <c r="AD23" i="1"/>
  <c r="AB23" i="1"/>
  <c r="Z23" i="1"/>
  <c r="X23" i="1"/>
  <c r="V23" i="1"/>
  <c r="T23" i="1"/>
  <c r="R23" i="1"/>
  <c r="P23" i="1"/>
  <c r="N23" i="1"/>
  <c r="L23" i="1"/>
  <c r="J23" i="1"/>
  <c r="H23" i="1"/>
  <c r="F23" i="1"/>
  <c r="D23" i="1"/>
  <c r="D54" i="1" l="1"/>
  <c r="E60" i="1" s="1"/>
  <c r="D53" i="1"/>
  <c r="D60" i="1" s="1"/>
  <c r="D27" i="1"/>
  <c r="E59" i="1" s="1"/>
  <c r="D26" i="1"/>
  <c r="D59" i="1" s="1"/>
</calcChain>
</file>

<file path=xl/sharedStrings.xml><?xml version="1.0" encoding="utf-8"?>
<sst xmlns="http://schemas.openxmlformats.org/spreadsheetml/2006/main" count="115" uniqueCount="62">
  <si>
    <t>SF</t>
  </si>
  <si>
    <t>CF</t>
  </si>
  <si>
    <t>Loan Accept</t>
  </si>
  <si>
    <t>Loan Reject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</si>
  <si>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</si>
  <si>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</si>
  <si>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</si>
  <si>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</si>
  <si>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</si>
  <si>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</si>
  <si>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</si>
  <si>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</si>
  <si>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</si>
  <si>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</si>
  <si>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</si>
  <si>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</si>
  <si>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</si>
  <si>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</si>
  <si>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</si>
  <si>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Across All</t>
  </si>
  <si>
    <t>Accept</t>
  </si>
  <si>
    <t>Reject</t>
  </si>
  <si>
    <t>2*2 Repeated ANOVA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</si>
  <si>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</si>
  <si>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</si>
  <si>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</si>
  <si>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</si>
  <si>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</si>
  <si>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</si>
  <si>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</si>
  <si>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</si>
  <si>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</si>
  <si>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</si>
  <si>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</si>
  <si>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</si>
  <si>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</si>
  <si>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</si>
  <si>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</si>
  <si>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</si>
  <si>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</si>
  <si>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</si>
  <si>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</si>
  <si>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</si>
  <si>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</si>
  <si>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</si>
  <si>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</si>
  <si>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</si>
  <si>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</si>
  <si>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</si>
  <si>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</si>
  <si>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</si>
  <si>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</si>
  <si>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</si>
  <si>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</si>
  <si>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</si>
  <si>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Pairwise T-Tests (Two Tailed)</t>
  </si>
  <si>
    <t>Semi-factual vs Counterfactual for Accepted Loans</t>
  </si>
  <si>
    <t>Semi-factual vs Counterfactual for Rejected Loans</t>
  </si>
  <si>
    <t xml:space="preserve">After applying Bonferroni Correction </t>
  </si>
  <si>
    <t>One-Tailed Tests</t>
  </si>
  <si>
    <t>Semi-factual &gt; Counterfactual for Accepted Loans</t>
  </si>
  <si>
    <t>Semi-factual &lt; Counterfactual for Rejected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</si>
</sst>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SF-CF Single Feedback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Sheet1!$D$58</c:f>
              <c:strCache>
                <c:ptCount val="1"/>
                <c:pt idx="0">
                  <c:v>SF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Sheet1!$C$59:$C$60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Sheet1!$D$59:$D$60</c:f>
              <c:numCache>
                <c:formatCode>General</c:formatCode>
                <c:ptCount val="2"/>
                <c:pt idx="0">
                  <c:v>3.1833333333333331</c:v>
                </c:pt>
                <c:pt idx="1">
                  <c:v>2.3249999999999997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2-FC47-91F7-B1EF82120DF2}"/>
            </c:ext>
          </c:extLst>
        </c:ser>
        <c:ser>
          <c:idx val="1"/>
          <c:order val="1"/>
          <c:tx>
            <c:strRef>
              <c:f>Sheet1!$E$58</c:f>
              <c:strCache>
                <c:ptCount val="1"/>
                <c:pt idx="0">
                  <c:v>CF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Sheet1!$C$59:$C$60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Sheet1!$E$59:$E$60</c:f>
              <c:numCache>
                <c:formatCode>General</c:formatCode>
                <c:ptCount val="2"/>
                <c:pt idx="0">
                  <c:v>2.5333333333333332</c:v>
                </c:pt>
                <c:pt idx="1">
                  <c:v>4.7500000000000009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C2-FC47-91F7-B1EF82120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0017696"/>
        <c:axId val="1729137536"/>
      </c:barChart>
      <c:catAx>
        <c:axId val="183001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137536"/>
        <c:crosses val="autoZero"/>
        <c:auto val="1"/>
        <c:lblAlgn val="ctr"/>
        <c:lblOffset val="100"/>
        <c:noMultiLvlLbl val="0"/>
      </c:catAx>
      <c:valAx>
        <c:axId val="172913753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0017696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717550</xdr:colOff>
      <xdr:row>60</xdr:row>
      <xdr:rowOff>0</xdr:rowOff>
    </xdr:from>
    <xdr:to>
      <xdr:col>11</xdr:col>
      <xdr:colOff>787400</xdr:colOff>
      <xdr:row>74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4D467-E0C6-F9F2-E8E6-39CBED8EB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825499</xdr:colOff>
      <xdr:row>80</xdr:row>
      <xdr:rowOff>0</xdr:rowOff>
    </xdr:from>
    <xdr:to>
      <xdr:col>12</xdr:col>
      <xdr:colOff>766494</xdr:colOff>
      <xdr:row>86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F90E67-2072-5185-BA32-05CEF0BA1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0999" y="16319500"/>
          <a:ext cx="9021495" cy="1231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9</xdr:col>
      <xdr:colOff>800100</xdr:colOff>
      <xdr:row>97</xdr:row>
      <xdr:rowOff>12700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2D1D0CF-71EC-A4FE-4B58-8046092B2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0" y="19265900"/>
          <a:ext cx="6578600" cy="6223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10</xdr:col>
      <xdr:colOff>20420</xdr:colOff>
      <xdr:row>103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56CEA71-8D83-A39F-30E1-5AD804382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0" y="20726400"/>
          <a:ext cx="6624420" cy="5969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10</xdr:col>
      <xdr:colOff>508000</xdr:colOff>
      <xdr:row>113</xdr:row>
      <xdr:rowOff>177800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CE4A567-E360-9333-A898-CCF1BC992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0" y="22415500"/>
          <a:ext cx="7112000" cy="990600"/>
        </a:xfrm>
        <a:prstGeom prst="rect">
          <a:avLst/>
        </a:prstGeom>
      </xdr:spPr>
    </xdr:pic>
    <xdr:clientData/>
  </xdr:twoCellAnchor>
  <xdr:twoCellAnchor editAs="oneCell">
    <xdr:from>
      <xdr:col>12</xdr:col>
      <xdr:colOff>50800</xdr:colOff>
      <xdr:row>93</xdr:row>
      <xdr:rowOff>12700</xdr:rowOff>
    </xdr:from>
    <xdr:to>
      <xdr:col>19</xdr:col>
      <xdr:colOff>685800</xdr:colOff>
      <xdr:row>96</xdr:row>
      <xdr:rowOff>63500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D05EF72-F673-37C3-B3AA-B2CE2029D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56800" y="19075400"/>
          <a:ext cx="6413500" cy="660400"/>
        </a:xfrm>
        <a:prstGeom prst="rect">
          <a:avLst/>
        </a:prstGeom>
      </xdr:spPr>
    </xdr:pic>
    <xdr:clientData/>
  </xdr:twoCellAnchor>
  <xdr:twoCellAnchor editAs="oneCell">
    <xdr:from>
      <xdr:col>11</xdr:col>
      <xdr:colOff>812800</xdr:colOff>
      <xdr:row>100</xdr:row>
      <xdr:rowOff>165100</xdr:rowOff>
    </xdr:from>
    <xdr:to>
      <xdr:col>20</xdr:col>
      <xdr:colOff>457200</xdr:colOff>
      <xdr:row>103</xdr:row>
      <xdr:rowOff>190500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FA24673-9B52-6DF8-59C7-93AE42C0A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93300" y="20688300"/>
          <a:ext cx="7073900" cy="6350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21</xdr:col>
      <xdr:colOff>127000</xdr:colOff>
      <xdr:row>113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97C911F-95B2-C0F0-D8CC-0EB4F228E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0" y="22415500"/>
          <a:ext cx="7556500" cy="96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0743-3A3F-8B49-996D-01C374B86D8E}">
  <dimension ref="C3:AH108"/>
  <sheetViews>
    <sheetView tabSelected="1" topLeftCell="A54" workbookViewId="0">
      <selection activeCell="B62" sqref="B62"/>
    </sheetView>
  </sheetViews>
  <sheetFormatPr baseColWidth="10" defaultRowHeight="16" x14ac:dyDescent="0.2"/>
  <sheetData>
    <row r="3" spans="3:34" x14ac:dyDescent="0.2">
      <c r="C3" s="2" t="s">
        <v>2</v>
      </c>
    </row>
    <row r="4" spans="3:34" x14ac:dyDescent="0.2">
      <c r="C4" s="2"/>
    </row>
    <row r="5" spans="3:34" x14ac:dyDescent="0.2">
      <c r="D5" s="1" t="s">
        <v>23</v>
      </c>
      <c r="E5" s="1"/>
      <c r="F5" s="1" t="s">
        <v>24</v>
      </c>
      <c r="G5" s="1"/>
      <c r="H5" s="1" t="s">
        <v>25</v>
      </c>
      <c r="I5" s="1"/>
      <c r="J5" s="1" t="s">
        <v>26</v>
      </c>
      <c r="K5" s="1"/>
      <c r="L5" s="1" t="s">
        <v>27</v>
      </c>
      <c r="M5" s="1"/>
      <c r="N5" s="1" t="s">
        <v>28</v>
      </c>
      <c r="O5" s="1"/>
      <c r="P5" s="1" t="s">
        <v>29</v>
      </c>
      <c r="Q5" s="1"/>
      <c r="R5" s="1" t="s">
        <v>30</v>
      </c>
      <c r="S5" s="1"/>
      <c r="T5" s="1" t="s">
        <v>31</v>
      </c>
      <c r="U5" s="1"/>
      <c r="V5" s="1" t="s">
        <v>32</v>
      </c>
      <c r="W5" s="1"/>
      <c r="X5" s="1" t="s">
        <v>33</v>
      </c>
      <c r="Y5" s="1"/>
      <c r="Z5" s="1" t="s">
        <v>34</v>
      </c>
      <c r="AA5" s="1"/>
      <c r="AB5" s="1" t="s">
        <v>35</v>
      </c>
      <c r="AC5" s="1"/>
      <c r="AD5" s="1" t="s">
        <v>36</v>
      </c>
      <c r="AE5" s="1"/>
      <c r="AF5" s="1" t="s">
        <v>37</v>
      </c>
      <c r="AG5" s="1"/>
      <c r="AH5" s="1" t="s">
        <v>38</v>
      </c>
    </row>
    <row r="6" spans="3:34" x14ac:dyDescent="0.2">
      <c r="D6" s="1" t="s">
        <v>0</v>
      </c>
      <c r="E6" s="1"/>
      <c r="F6" s="1" t="s">
        <v>0</v>
      </c>
      <c r="G6" s="1"/>
      <c r="H6" s="1" t="s">
        <v>1</v>
      </c>
      <c r="I6" s="1"/>
      <c r="J6" s="1" t="s">
        <v>1</v>
      </c>
      <c r="K6" s="1"/>
      <c r="L6" s="1" t="s">
        <v>0</v>
      </c>
      <c r="M6" s="1"/>
      <c r="N6" s="1" t="s">
        <v>0</v>
      </c>
      <c r="O6" s="1"/>
      <c r="P6" s="1" t="s">
        <v>1</v>
      </c>
      <c r="Q6" s="1"/>
      <c r="R6" s="1" t="s">
        <v>1</v>
      </c>
      <c r="S6" s="1"/>
      <c r="T6" s="1" t="s">
        <v>0</v>
      </c>
      <c r="U6" s="1"/>
      <c r="V6" s="1" t="s">
        <v>0</v>
      </c>
      <c r="W6" s="1"/>
      <c r="X6" s="1" t="s">
        <v>1</v>
      </c>
      <c r="Y6" s="1"/>
      <c r="Z6" s="1" t="s">
        <v>1</v>
      </c>
      <c r="AA6" s="1"/>
      <c r="AB6" s="1" t="s">
        <v>0</v>
      </c>
      <c r="AC6" s="1"/>
      <c r="AD6" s="1" t="s">
        <v>0</v>
      </c>
      <c r="AE6" s="1"/>
      <c r="AF6" s="1" t="s">
        <v>1</v>
      </c>
      <c r="AG6" s="1"/>
      <c r="AH6" s="1" t="s">
        <v>1</v>
      </c>
    </row>
    <row r="7" spans="3:34" x14ac:dyDescent="0.2">
      <c r="C7" s="1" t="s">
        <v>4</v>
      </c>
      <c r="D7" s="1">
        <v>5</v>
      </c>
      <c r="E7" s="1"/>
      <c r="F7" s="1">
        <v>2</v>
      </c>
      <c r="G7" s="1"/>
      <c r="H7" s="1">
        <v>4</v>
      </c>
      <c r="I7" s="1"/>
      <c r="J7" s="1">
        <v>1</v>
      </c>
      <c r="K7" s="1"/>
      <c r="L7" s="1">
        <v>4</v>
      </c>
      <c r="M7" s="1"/>
      <c r="N7" s="1">
        <v>1</v>
      </c>
      <c r="O7" s="1"/>
      <c r="P7" s="1">
        <v>1</v>
      </c>
      <c r="Q7" s="1"/>
      <c r="R7" s="1">
        <v>1</v>
      </c>
      <c r="S7" s="1"/>
      <c r="T7" s="1">
        <v>4</v>
      </c>
      <c r="U7" s="1"/>
      <c r="V7" s="1">
        <v>5</v>
      </c>
      <c r="W7" s="1"/>
      <c r="X7" s="1">
        <v>3</v>
      </c>
      <c r="Y7" s="1"/>
      <c r="Z7" s="1">
        <v>4</v>
      </c>
      <c r="AA7" s="1"/>
      <c r="AB7" s="1">
        <v>4</v>
      </c>
      <c r="AC7" s="1"/>
      <c r="AD7" s="1">
        <v>5</v>
      </c>
      <c r="AE7" s="1"/>
      <c r="AF7" s="1">
        <v>1</v>
      </c>
      <c r="AG7" s="1"/>
      <c r="AH7" s="1">
        <v>2</v>
      </c>
    </row>
    <row r="8" spans="3:34" x14ac:dyDescent="0.2">
      <c r="C8" s="1" t="s">
        <v>5</v>
      </c>
      <c r="D8" s="1">
        <v>1</v>
      </c>
      <c r="E8" s="1"/>
      <c r="F8" s="1">
        <v>1</v>
      </c>
      <c r="G8" s="1"/>
      <c r="H8" s="1">
        <v>2</v>
      </c>
      <c r="I8" s="1"/>
      <c r="J8" s="1">
        <v>2</v>
      </c>
      <c r="K8" s="1"/>
      <c r="L8" s="1">
        <v>3</v>
      </c>
      <c r="M8" s="1"/>
      <c r="N8" s="1">
        <v>1</v>
      </c>
      <c r="O8" s="1"/>
      <c r="P8" s="1">
        <v>2</v>
      </c>
      <c r="Q8" s="1"/>
      <c r="R8" s="1">
        <v>3</v>
      </c>
      <c r="S8" s="1"/>
      <c r="T8" s="1">
        <v>4</v>
      </c>
      <c r="U8" s="1"/>
      <c r="V8" s="1">
        <v>4</v>
      </c>
      <c r="W8" s="1"/>
      <c r="X8" s="1">
        <v>3</v>
      </c>
      <c r="Y8" s="1"/>
      <c r="Z8" s="1">
        <v>3</v>
      </c>
      <c r="AA8" s="1"/>
      <c r="AB8" s="1">
        <v>2</v>
      </c>
      <c r="AC8" s="1"/>
      <c r="AD8" s="1">
        <v>2</v>
      </c>
      <c r="AE8" s="1"/>
      <c r="AF8" s="1">
        <v>1</v>
      </c>
      <c r="AG8" s="1"/>
      <c r="AH8" s="1">
        <v>2</v>
      </c>
    </row>
    <row r="9" spans="3:34" x14ac:dyDescent="0.2">
      <c r="C9" s="1" t="s">
        <v>6</v>
      </c>
      <c r="D9" s="1">
        <v>1</v>
      </c>
      <c r="E9" s="1"/>
      <c r="F9" s="1">
        <v>4</v>
      </c>
      <c r="G9" s="1"/>
      <c r="H9" s="1">
        <v>3</v>
      </c>
      <c r="I9" s="1"/>
      <c r="J9" s="1">
        <v>1</v>
      </c>
      <c r="K9" s="1"/>
      <c r="L9" s="1">
        <v>1</v>
      </c>
      <c r="M9" s="1"/>
      <c r="N9" s="1">
        <v>1</v>
      </c>
      <c r="O9" s="1"/>
      <c r="P9" s="1">
        <v>1</v>
      </c>
      <c r="Q9" s="1"/>
      <c r="R9" s="1">
        <v>3</v>
      </c>
      <c r="S9" s="1"/>
      <c r="T9" s="1">
        <v>2</v>
      </c>
      <c r="U9" s="1"/>
      <c r="V9" s="1">
        <v>1</v>
      </c>
      <c r="W9" s="1"/>
      <c r="X9" s="1">
        <v>4</v>
      </c>
      <c r="Y9" s="1"/>
      <c r="Z9" s="1">
        <v>3</v>
      </c>
      <c r="AA9" s="1"/>
      <c r="AB9" s="1">
        <v>4</v>
      </c>
      <c r="AC9" s="1"/>
      <c r="AD9" s="1">
        <v>5</v>
      </c>
      <c r="AE9" s="1"/>
      <c r="AF9" s="1">
        <v>5</v>
      </c>
      <c r="AG9" s="1"/>
      <c r="AH9" s="1">
        <v>1</v>
      </c>
    </row>
    <row r="10" spans="3:34" x14ac:dyDescent="0.2">
      <c r="C10" s="1" t="s">
        <v>7</v>
      </c>
      <c r="D10" s="1">
        <v>3</v>
      </c>
      <c r="E10" s="1"/>
      <c r="F10" s="1">
        <v>4</v>
      </c>
      <c r="G10" s="1"/>
      <c r="H10" s="1">
        <v>5</v>
      </c>
      <c r="I10" s="1"/>
      <c r="J10" s="1">
        <v>5</v>
      </c>
      <c r="K10" s="1"/>
      <c r="L10" s="1">
        <v>3</v>
      </c>
      <c r="M10" s="1"/>
      <c r="N10" s="1">
        <v>3</v>
      </c>
      <c r="O10" s="1"/>
      <c r="P10" s="1">
        <v>5</v>
      </c>
      <c r="Q10" s="1"/>
      <c r="R10" s="1">
        <v>5</v>
      </c>
      <c r="S10" s="1"/>
      <c r="T10" s="1">
        <v>4</v>
      </c>
      <c r="U10" s="1"/>
      <c r="V10" s="1">
        <v>4</v>
      </c>
      <c r="W10" s="1"/>
      <c r="X10" s="1">
        <v>4</v>
      </c>
      <c r="Y10" s="1"/>
      <c r="Z10" s="1">
        <v>4</v>
      </c>
      <c r="AA10" s="1"/>
      <c r="AB10" s="1">
        <v>3</v>
      </c>
      <c r="AC10" s="1"/>
      <c r="AD10" s="1">
        <v>3</v>
      </c>
      <c r="AE10" s="1"/>
      <c r="AF10" s="1">
        <v>5</v>
      </c>
      <c r="AG10" s="1"/>
      <c r="AH10" s="1">
        <v>5</v>
      </c>
    </row>
    <row r="11" spans="3:34" x14ac:dyDescent="0.2">
      <c r="C11" s="1" t="s">
        <v>8</v>
      </c>
      <c r="D11" s="1">
        <v>4</v>
      </c>
      <c r="E11" s="1"/>
      <c r="F11" s="1">
        <v>2</v>
      </c>
      <c r="G11" s="1"/>
      <c r="H11" s="1">
        <v>3</v>
      </c>
      <c r="I11" s="1"/>
      <c r="J11" s="1">
        <v>2</v>
      </c>
      <c r="K11" s="1"/>
      <c r="L11" s="1">
        <v>2</v>
      </c>
      <c r="M11" s="1"/>
      <c r="N11" s="1">
        <v>1</v>
      </c>
      <c r="O11" s="1"/>
      <c r="P11" s="1">
        <v>1</v>
      </c>
      <c r="Q11" s="1"/>
      <c r="R11" s="1">
        <v>1</v>
      </c>
      <c r="S11" s="1"/>
      <c r="T11" s="1">
        <v>3</v>
      </c>
      <c r="U11" s="1"/>
      <c r="V11" s="1">
        <v>4</v>
      </c>
      <c r="W11" s="1"/>
      <c r="X11" s="1">
        <v>3</v>
      </c>
      <c r="Y11" s="1"/>
      <c r="Z11" s="1">
        <v>3</v>
      </c>
      <c r="AA11" s="1"/>
      <c r="AB11" s="1">
        <v>4</v>
      </c>
      <c r="AC11" s="1"/>
      <c r="AD11" s="1">
        <v>4</v>
      </c>
      <c r="AE11" s="1"/>
      <c r="AF11" s="1">
        <v>1</v>
      </c>
      <c r="AG11" s="1"/>
      <c r="AH11" s="1">
        <v>1</v>
      </c>
    </row>
    <row r="12" spans="3:34" x14ac:dyDescent="0.2">
      <c r="C12" s="1" t="s">
        <v>9</v>
      </c>
      <c r="D12" s="1">
        <v>3</v>
      </c>
      <c r="E12" s="1"/>
      <c r="F12" s="1">
        <v>4</v>
      </c>
      <c r="G12" s="1"/>
      <c r="H12" s="1">
        <v>4</v>
      </c>
      <c r="I12" s="1"/>
      <c r="J12" s="1">
        <v>1</v>
      </c>
      <c r="K12" s="1"/>
      <c r="L12" s="1">
        <v>5</v>
      </c>
      <c r="M12" s="1"/>
      <c r="N12" s="1">
        <v>1</v>
      </c>
      <c r="O12" s="1"/>
      <c r="P12" s="1">
        <v>2</v>
      </c>
      <c r="Q12" s="1"/>
      <c r="R12" s="1">
        <v>1</v>
      </c>
      <c r="S12" s="1"/>
      <c r="T12" s="1">
        <v>4</v>
      </c>
      <c r="U12" s="1"/>
      <c r="V12" s="1">
        <v>5</v>
      </c>
      <c r="W12" s="1"/>
      <c r="X12" s="1">
        <v>3</v>
      </c>
      <c r="Y12" s="1"/>
      <c r="Z12" s="1">
        <v>4</v>
      </c>
      <c r="AA12" s="1"/>
      <c r="AB12" s="1">
        <v>3</v>
      </c>
      <c r="AC12" s="1"/>
      <c r="AD12" s="1">
        <v>5</v>
      </c>
      <c r="AE12" s="1"/>
      <c r="AF12" s="1">
        <v>1</v>
      </c>
      <c r="AG12" s="1"/>
      <c r="AH12" s="1">
        <v>1</v>
      </c>
    </row>
    <row r="13" spans="3:34" x14ac:dyDescent="0.2">
      <c r="C13" s="1" t="s">
        <v>10</v>
      </c>
      <c r="D13" s="1">
        <v>3</v>
      </c>
      <c r="E13" s="1"/>
      <c r="F13" s="1">
        <v>2</v>
      </c>
      <c r="G13" s="1"/>
      <c r="H13" s="1">
        <v>3</v>
      </c>
      <c r="I13" s="1"/>
      <c r="J13" s="1">
        <v>2</v>
      </c>
      <c r="K13" s="1"/>
      <c r="L13" s="1">
        <v>3</v>
      </c>
      <c r="M13" s="1"/>
      <c r="N13" s="1">
        <v>2</v>
      </c>
      <c r="O13" s="1"/>
      <c r="P13" s="1">
        <v>3</v>
      </c>
      <c r="Q13" s="1"/>
      <c r="R13" s="1">
        <v>4</v>
      </c>
      <c r="S13" s="1"/>
      <c r="T13" s="1">
        <v>3</v>
      </c>
      <c r="U13" s="1"/>
      <c r="V13" s="1">
        <v>2</v>
      </c>
      <c r="W13" s="1"/>
      <c r="X13" s="1">
        <v>4</v>
      </c>
      <c r="Y13" s="1"/>
      <c r="Z13" s="1">
        <v>3</v>
      </c>
      <c r="AA13" s="1"/>
      <c r="AB13" s="1">
        <v>3</v>
      </c>
      <c r="AC13" s="1"/>
      <c r="AD13" s="1">
        <v>3</v>
      </c>
      <c r="AE13" s="1"/>
      <c r="AF13" s="1">
        <v>3</v>
      </c>
      <c r="AG13" s="1"/>
      <c r="AH13" s="1">
        <v>4</v>
      </c>
    </row>
    <row r="14" spans="3:34" x14ac:dyDescent="0.2">
      <c r="C14" s="1" t="s">
        <v>11</v>
      </c>
      <c r="D14" s="1">
        <v>4</v>
      </c>
      <c r="E14" s="1"/>
      <c r="F14" s="1">
        <v>4</v>
      </c>
      <c r="G14" s="1"/>
      <c r="H14" s="1">
        <v>1</v>
      </c>
      <c r="I14" s="1"/>
      <c r="J14" s="1">
        <v>2</v>
      </c>
      <c r="K14" s="1"/>
      <c r="L14" s="1">
        <v>2</v>
      </c>
      <c r="M14" s="1"/>
      <c r="N14" s="1">
        <v>1</v>
      </c>
      <c r="O14" s="1"/>
      <c r="P14" s="1">
        <v>5</v>
      </c>
      <c r="Q14" s="1"/>
      <c r="R14" s="1">
        <v>1</v>
      </c>
      <c r="S14" s="1"/>
      <c r="T14" s="1">
        <v>4</v>
      </c>
      <c r="U14" s="1"/>
      <c r="V14" s="1">
        <v>5</v>
      </c>
      <c r="W14" s="1"/>
      <c r="X14" s="1">
        <v>3</v>
      </c>
      <c r="Y14" s="1"/>
      <c r="Z14" s="1">
        <v>4</v>
      </c>
      <c r="AA14" s="1"/>
      <c r="AB14" s="1">
        <v>2</v>
      </c>
      <c r="AC14" s="1"/>
      <c r="AD14" s="1">
        <v>4</v>
      </c>
      <c r="AE14" s="1"/>
      <c r="AF14" s="1">
        <v>2</v>
      </c>
      <c r="AG14" s="1"/>
      <c r="AH14" s="1">
        <v>2</v>
      </c>
    </row>
    <row r="15" spans="3:34" x14ac:dyDescent="0.2">
      <c r="C15" s="1" t="s">
        <v>12</v>
      </c>
      <c r="D15" s="1">
        <v>4</v>
      </c>
      <c r="E15" s="1"/>
      <c r="F15" s="1">
        <v>4</v>
      </c>
      <c r="G15" s="1"/>
      <c r="H15" s="1">
        <v>2</v>
      </c>
      <c r="I15" s="1"/>
      <c r="J15" s="1">
        <v>1</v>
      </c>
      <c r="K15" s="1"/>
      <c r="L15" s="1">
        <v>4</v>
      </c>
      <c r="M15" s="1"/>
      <c r="N15" s="1">
        <v>2</v>
      </c>
      <c r="O15" s="1"/>
      <c r="P15" s="1">
        <v>1</v>
      </c>
      <c r="Q15" s="1"/>
      <c r="R15" s="1">
        <v>1</v>
      </c>
      <c r="S15" s="1"/>
      <c r="T15" s="1">
        <v>4</v>
      </c>
      <c r="U15" s="1"/>
      <c r="V15" s="1">
        <v>4</v>
      </c>
      <c r="W15" s="1"/>
      <c r="X15" s="1">
        <v>2</v>
      </c>
      <c r="Y15" s="1"/>
      <c r="Z15" s="1">
        <v>1</v>
      </c>
      <c r="AA15" s="1"/>
      <c r="AB15" s="1">
        <v>3</v>
      </c>
      <c r="AC15" s="1"/>
      <c r="AD15" s="1">
        <v>4</v>
      </c>
      <c r="AE15" s="1"/>
      <c r="AF15" s="1">
        <v>1</v>
      </c>
      <c r="AG15" s="1"/>
      <c r="AH15" s="1">
        <v>1</v>
      </c>
    </row>
    <row r="16" spans="3:34" x14ac:dyDescent="0.2">
      <c r="C16" s="1" t="s">
        <v>13</v>
      </c>
      <c r="D16" s="1">
        <v>4</v>
      </c>
      <c r="E16" s="1"/>
      <c r="F16" s="1">
        <v>5</v>
      </c>
      <c r="G16" s="1"/>
      <c r="H16" s="1">
        <v>4</v>
      </c>
      <c r="I16" s="1"/>
      <c r="J16" s="1">
        <v>1</v>
      </c>
      <c r="K16" s="1"/>
      <c r="L16" s="1">
        <v>5</v>
      </c>
      <c r="M16" s="1"/>
      <c r="N16" s="1">
        <v>1</v>
      </c>
      <c r="O16" s="1"/>
      <c r="P16" s="1">
        <v>1</v>
      </c>
      <c r="Q16" s="1"/>
      <c r="R16" s="1">
        <v>2</v>
      </c>
      <c r="S16" s="1"/>
      <c r="T16" s="1">
        <v>4</v>
      </c>
      <c r="U16" s="1"/>
      <c r="V16" s="1">
        <v>4</v>
      </c>
      <c r="W16" s="1"/>
      <c r="X16" s="1">
        <v>5</v>
      </c>
      <c r="Y16" s="1"/>
      <c r="Z16" s="1">
        <v>1</v>
      </c>
      <c r="AA16" s="1"/>
      <c r="AB16" s="1">
        <v>4</v>
      </c>
      <c r="AC16" s="1"/>
      <c r="AD16" s="1">
        <v>5</v>
      </c>
      <c r="AE16" s="1"/>
      <c r="AF16" s="1">
        <v>1</v>
      </c>
      <c r="AG16" s="1"/>
      <c r="AH16" s="1">
        <v>1</v>
      </c>
    </row>
    <row r="17" spans="3:34" x14ac:dyDescent="0.2">
      <c r="C17" s="1" t="s">
        <v>14</v>
      </c>
      <c r="D17" s="1">
        <v>2</v>
      </c>
      <c r="E17" s="1"/>
      <c r="F17" s="1">
        <v>2</v>
      </c>
      <c r="G17" s="1"/>
      <c r="H17" s="1">
        <v>3</v>
      </c>
      <c r="I17" s="1"/>
      <c r="J17" s="1">
        <v>2</v>
      </c>
      <c r="K17" s="1"/>
      <c r="L17" s="1">
        <v>2</v>
      </c>
      <c r="M17" s="1"/>
      <c r="N17" s="1">
        <v>2</v>
      </c>
      <c r="O17" s="1"/>
      <c r="P17" s="1">
        <v>3</v>
      </c>
      <c r="Q17" s="1"/>
      <c r="R17" s="1">
        <v>3</v>
      </c>
      <c r="S17" s="1"/>
      <c r="T17" s="1">
        <v>2</v>
      </c>
      <c r="U17" s="1"/>
      <c r="V17" s="1">
        <v>2</v>
      </c>
      <c r="W17" s="1"/>
      <c r="X17" s="1">
        <v>3</v>
      </c>
      <c r="Y17" s="1"/>
      <c r="Z17" s="1">
        <v>3</v>
      </c>
      <c r="AA17" s="1"/>
      <c r="AB17" s="1">
        <v>2</v>
      </c>
      <c r="AC17" s="1"/>
      <c r="AD17" s="1">
        <v>2</v>
      </c>
      <c r="AE17" s="1"/>
      <c r="AF17" s="1">
        <v>3</v>
      </c>
      <c r="AG17" s="1"/>
      <c r="AH17" s="1">
        <v>3</v>
      </c>
    </row>
    <row r="18" spans="3:34" x14ac:dyDescent="0.2">
      <c r="C18" s="1" t="s">
        <v>15</v>
      </c>
      <c r="D18" s="1">
        <v>4</v>
      </c>
      <c r="E18" s="1"/>
      <c r="F18" s="1">
        <v>2</v>
      </c>
      <c r="G18" s="1"/>
      <c r="H18" s="1">
        <v>4</v>
      </c>
      <c r="I18" s="1"/>
      <c r="J18" s="1">
        <v>1</v>
      </c>
      <c r="K18" s="1"/>
      <c r="L18" s="1">
        <v>5</v>
      </c>
      <c r="M18" s="1"/>
      <c r="N18" s="1">
        <v>2</v>
      </c>
      <c r="O18" s="1"/>
      <c r="P18" s="1">
        <v>4</v>
      </c>
      <c r="Q18" s="1"/>
      <c r="R18" s="1">
        <v>1</v>
      </c>
      <c r="S18" s="1"/>
      <c r="T18" s="1">
        <v>2</v>
      </c>
      <c r="U18" s="1"/>
      <c r="V18" s="1">
        <v>5</v>
      </c>
      <c r="W18" s="1"/>
      <c r="X18" s="1">
        <v>5</v>
      </c>
      <c r="Y18" s="1"/>
      <c r="Z18" s="1">
        <v>5</v>
      </c>
      <c r="AA18" s="1"/>
      <c r="AB18" s="1">
        <v>5</v>
      </c>
      <c r="AC18" s="1"/>
      <c r="AD18" s="1">
        <v>5</v>
      </c>
      <c r="AE18" s="1"/>
      <c r="AF18" s="1">
        <v>4</v>
      </c>
      <c r="AG18" s="1"/>
      <c r="AH18" s="1">
        <v>4</v>
      </c>
    </row>
    <row r="19" spans="3:34" x14ac:dyDescent="0.2">
      <c r="C19" s="1" t="s">
        <v>16</v>
      </c>
      <c r="D19" s="1">
        <v>5</v>
      </c>
      <c r="E19" s="1"/>
      <c r="F19" s="1">
        <v>1</v>
      </c>
      <c r="G19" s="1"/>
      <c r="H19" s="1">
        <v>2</v>
      </c>
      <c r="I19" s="1"/>
      <c r="J19" s="1">
        <v>1</v>
      </c>
      <c r="K19" s="1"/>
      <c r="L19" s="1">
        <v>5</v>
      </c>
      <c r="M19" s="1"/>
      <c r="N19" s="1">
        <v>1</v>
      </c>
      <c r="O19" s="1"/>
      <c r="P19" s="1">
        <v>1</v>
      </c>
      <c r="Q19" s="1"/>
      <c r="R19" s="1">
        <v>1</v>
      </c>
      <c r="S19" s="1"/>
      <c r="T19" s="1">
        <v>5</v>
      </c>
      <c r="U19" s="1"/>
      <c r="V19" s="1">
        <v>5</v>
      </c>
      <c r="W19" s="1"/>
      <c r="X19" s="1">
        <v>5</v>
      </c>
      <c r="Y19" s="1"/>
      <c r="Z19" s="1">
        <v>4</v>
      </c>
      <c r="AA19" s="1"/>
      <c r="AB19" s="1">
        <v>5</v>
      </c>
      <c r="AC19" s="1"/>
      <c r="AD19" s="1">
        <v>5</v>
      </c>
      <c r="AE19" s="1"/>
      <c r="AF19" s="1">
        <v>3</v>
      </c>
      <c r="AG19" s="1"/>
      <c r="AH19" s="1">
        <v>3</v>
      </c>
    </row>
    <row r="20" spans="3:34" x14ac:dyDescent="0.2">
      <c r="C20" s="1" t="s">
        <v>17</v>
      </c>
      <c r="D20" s="1">
        <v>4</v>
      </c>
      <c r="E20" s="1"/>
      <c r="F20" s="1">
        <v>1</v>
      </c>
      <c r="G20" s="1"/>
      <c r="H20" s="1">
        <v>3</v>
      </c>
      <c r="I20" s="1"/>
      <c r="J20" s="1">
        <v>3</v>
      </c>
      <c r="K20" s="1"/>
      <c r="L20" s="1">
        <v>4</v>
      </c>
      <c r="M20" s="1"/>
      <c r="N20" s="1">
        <v>1</v>
      </c>
      <c r="O20" s="1"/>
      <c r="P20" s="1">
        <v>2</v>
      </c>
      <c r="Q20" s="1"/>
      <c r="R20" s="1">
        <v>2</v>
      </c>
      <c r="S20" s="1"/>
      <c r="T20" s="1">
        <v>5</v>
      </c>
      <c r="U20" s="1"/>
      <c r="V20" s="1">
        <v>5</v>
      </c>
      <c r="W20" s="1"/>
      <c r="X20" s="1">
        <v>4</v>
      </c>
      <c r="Y20" s="1"/>
      <c r="Z20" s="1">
        <v>2</v>
      </c>
      <c r="AA20" s="1"/>
      <c r="AB20" s="1">
        <v>4</v>
      </c>
      <c r="AC20" s="1"/>
      <c r="AD20" s="1">
        <v>4</v>
      </c>
      <c r="AE20" s="1"/>
      <c r="AF20" s="1">
        <v>3</v>
      </c>
      <c r="AG20" s="1"/>
      <c r="AH20" s="1">
        <v>1</v>
      </c>
    </row>
    <row r="21" spans="3:34" x14ac:dyDescent="0.2">
      <c r="C21" s="1" t="s">
        <v>18</v>
      </c>
      <c r="D21" s="1">
        <v>3</v>
      </c>
      <c r="E21" s="1"/>
      <c r="F21" s="1">
        <v>1</v>
      </c>
      <c r="G21" s="1"/>
      <c r="H21" s="1">
        <v>2</v>
      </c>
      <c r="I21" s="1"/>
      <c r="J21" s="1">
        <v>1</v>
      </c>
      <c r="K21" s="1"/>
      <c r="L21" s="1">
        <v>2</v>
      </c>
      <c r="M21" s="1"/>
      <c r="N21" s="1">
        <v>1</v>
      </c>
      <c r="O21" s="1"/>
      <c r="P21" s="1">
        <v>1</v>
      </c>
      <c r="Q21" s="1"/>
      <c r="R21" s="1">
        <v>1</v>
      </c>
      <c r="S21" s="1"/>
      <c r="T21" s="1">
        <v>4</v>
      </c>
      <c r="U21" s="1"/>
      <c r="V21" s="1">
        <v>3</v>
      </c>
      <c r="W21" s="1"/>
      <c r="X21" s="1">
        <v>3</v>
      </c>
      <c r="Y21" s="1"/>
      <c r="Z21" s="1">
        <v>2</v>
      </c>
      <c r="AA21" s="1"/>
      <c r="AB21" s="1">
        <v>3</v>
      </c>
      <c r="AC21" s="1"/>
      <c r="AD21" s="1">
        <v>3</v>
      </c>
      <c r="AE21" s="1"/>
      <c r="AF21" s="1">
        <v>2</v>
      </c>
      <c r="AG21" s="1"/>
      <c r="AH21" s="1">
        <v>3</v>
      </c>
    </row>
    <row r="22" spans="3:34" x14ac:dyDescent="0.2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3:34" x14ac:dyDescent="0.2">
      <c r="C23" s="1"/>
      <c r="D23" s="1">
        <f>AVERAGE(D7:D21)</f>
        <v>3.3333333333333335</v>
      </c>
      <c r="E23" s="1"/>
      <c r="F23" s="1">
        <f>AVERAGE(F7:F21)</f>
        <v>2.6</v>
      </c>
      <c r="G23" s="1"/>
      <c r="H23" s="1">
        <f>AVERAGE(H7:H21)</f>
        <v>3</v>
      </c>
      <c r="I23" s="1"/>
      <c r="J23" s="1">
        <f>AVERAGE(J7:J21)</f>
        <v>1.7333333333333334</v>
      </c>
      <c r="K23" s="1"/>
      <c r="L23" s="1">
        <f>AVERAGE(L7:L21)</f>
        <v>3.3333333333333335</v>
      </c>
      <c r="M23" s="1"/>
      <c r="N23" s="1">
        <f>AVERAGE(N7:N21)</f>
        <v>1.4</v>
      </c>
      <c r="O23" s="1"/>
      <c r="P23" s="1">
        <f>AVERAGE(P7:P21)</f>
        <v>2.2000000000000002</v>
      </c>
      <c r="Q23" s="1"/>
      <c r="R23" s="1">
        <f>AVERAGE(R7:R21)</f>
        <v>2</v>
      </c>
      <c r="S23" s="1"/>
      <c r="T23" s="1">
        <f>AVERAGE(T7:T21)</f>
        <v>3.6</v>
      </c>
      <c r="U23" s="1"/>
      <c r="V23" s="1">
        <f>AVERAGE(V7:V21)</f>
        <v>3.8666666666666667</v>
      </c>
      <c r="W23" s="1"/>
      <c r="X23" s="1">
        <f>AVERAGE(X7:X21)</f>
        <v>3.6</v>
      </c>
      <c r="Y23" s="1"/>
      <c r="Z23" s="1">
        <f>AVERAGE(Z7:Z21)</f>
        <v>3.0666666666666669</v>
      </c>
      <c r="AA23" s="1"/>
      <c r="AB23" s="1">
        <f>AVERAGE(AB7:AB21)</f>
        <v>3.4</v>
      </c>
      <c r="AC23" s="1"/>
      <c r="AD23" s="1">
        <f>AVERAGE(AD7:AD21)</f>
        <v>3.9333333333333331</v>
      </c>
      <c r="AE23" s="1"/>
      <c r="AF23" s="1">
        <f>AVERAGE(AF7:AF21)</f>
        <v>2.4</v>
      </c>
      <c r="AG23" s="1"/>
      <c r="AH23" s="1">
        <f>AVERAGE(AH7:AH21)</f>
        <v>2.2666666666666666</v>
      </c>
    </row>
    <row r="24" spans="3:34" x14ac:dyDescent="0.2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3:34" x14ac:dyDescent="0.2">
      <c r="C25" s="1" t="s">
        <v>19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3:34" x14ac:dyDescent="0.2">
      <c r="C26" s="1" t="s">
        <v>0</v>
      </c>
      <c r="D26" s="1">
        <f>AVERAGE(D23,F23,L23,N23,T23,V23,AB23,AD23)</f>
        <v>3.1833333333333331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3:34" x14ac:dyDescent="0.2">
      <c r="C27" s="1" t="s">
        <v>1</v>
      </c>
      <c r="D27" s="1">
        <f>AVERAGE(H23,J23,P23,R23,X23,Z23,AF23,AH23)</f>
        <v>2.5333333333333332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3:34" x14ac:dyDescent="0.2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3:34" x14ac:dyDescent="0.2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3:34" x14ac:dyDescent="0.2">
      <c r="C30" s="3" t="s">
        <v>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3:34" x14ac:dyDescent="0.2"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3:34" x14ac:dyDescent="0.2">
      <c r="C32" s="1"/>
      <c r="D32" s="1" t="s">
        <v>39</v>
      </c>
      <c r="E32" s="1"/>
      <c r="F32" s="1" t="s">
        <v>40</v>
      </c>
      <c r="G32" s="1"/>
      <c r="H32" s="1" t="s">
        <v>41</v>
      </c>
      <c r="I32" s="1"/>
      <c r="J32" s="1" t="s">
        <v>42</v>
      </c>
      <c r="K32" s="1"/>
      <c r="L32" s="1" t="s">
        <v>43</v>
      </c>
      <c r="M32" s="1"/>
      <c r="N32" s="1" t="s">
        <v>44</v>
      </c>
      <c r="O32" s="1"/>
      <c r="P32" s="1" t="s">
        <v>45</v>
      </c>
      <c r="Q32" s="1"/>
      <c r="R32" s="1" t="s">
        <v>46</v>
      </c>
      <c r="S32" s="1"/>
      <c r="T32" s="1" t="s">
        <v>47</v>
      </c>
      <c r="U32" s="1"/>
      <c r="V32" s="1" t="s">
        <v>48</v>
      </c>
      <c r="W32" s="1"/>
      <c r="X32" s="1" t="s">
        <v>49</v>
      </c>
      <c r="Y32" s="1"/>
      <c r="Z32" s="1" t="s">
        <v>50</v>
      </c>
      <c r="AA32" s="1"/>
      <c r="AB32" s="1" t="s">
        <v>51</v>
      </c>
      <c r="AC32" s="1"/>
      <c r="AD32" s="1" t="s">
        <v>52</v>
      </c>
      <c r="AE32" s="1"/>
      <c r="AF32" s="1" t="s">
        <v>53</v>
      </c>
      <c r="AG32" s="1"/>
      <c r="AH32" s="1" t="s">
        <v>54</v>
      </c>
    </row>
    <row r="33" spans="3:34" x14ac:dyDescent="0.2">
      <c r="C33" s="1"/>
      <c r="D33" s="1" t="s">
        <v>0</v>
      </c>
      <c r="E33" s="1"/>
      <c r="F33" s="1" t="s">
        <v>0</v>
      </c>
      <c r="H33" s="1" t="s">
        <v>1</v>
      </c>
      <c r="I33" s="1"/>
      <c r="J33" s="1" t="s">
        <v>1</v>
      </c>
      <c r="K33" s="1"/>
      <c r="L33" s="1" t="s">
        <v>0</v>
      </c>
      <c r="M33" s="1"/>
      <c r="N33" s="1" t="s">
        <v>0</v>
      </c>
      <c r="O33" s="1"/>
      <c r="P33" s="1" t="s">
        <v>1</v>
      </c>
      <c r="Q33" s="1"/>
      <c r="R33" s="1" t="s">
        <v>1</v>
      </c>
      <c r="S33" s="1"/>
      <c r="T33" s="1" t="s">
        <v>0</v>
      </c>
      <c r="U33" s="1"/>
      <c r="V33" s="1" t="s">
        <v>0</v>
      </c>
      <c r="W33" s="1"/>
      <c r="X33" s="1" t="s">
        <v>1</v>
      </c>
      <c r="Y33" s="1"/>
      <c r="Z33" s="1" t="s">
        <v>1</v>
      </c>
      <c r="AA33" s="1"/>
      <c r="AB33" s="1" t="s">
        <v>0</v>
      </c>
      <c r="AC33" s="1"/>
      <c r="AD33" s="1" t="s">
        <v>0</v>
      </c>
      <c r="AE33" s="1"/>
      <c r="AF33" s="1" t="s">
        <v>1</v>
      </c>
      <c r="AG33" s="1"/>
      <c r="AH33" s="1" t="s">
        <v>1</v>
      </c>
    </row>
    <row r="34" spans="3:34" x14ac:dyDescent="0.2">
      <c r="C34" s="1" t="s">
        <v>4</v>
      </c>
      <c r="D34" s="1">
        <v>5</v>
      </c>
      <c r="E34" s="1"/>
      <c r="F34" s="1">
        <v>5</v>
      </c>
      <c r="H34" s="1">
        <v>4</v>
      </c>
      <c r="I34" s="1"/>
      <c r="J34" s="1">
        <v>5</v>
      </c>
      <c r="K34" s="1"/>
      <c r="L34" s="1">
        <v>5</v>
      </c>
      <c r="M34" s="1"/>
      <c r="N34" s="1">
        <v>5</v>
      </c>
      <c r="O34" s="1"/>
      <c r="P34" s="1">
        <v>4</v>
      </c>
      <c r="Q34" s="1"/>
      <c r="R34" s="1">
        <v>5</v>
      </c>
      <c r="S34" s="1"/>
      <c r="T34" s="1">
        <v>5</v>
      </c>
      <c r="U34" s="1"/>
      <c r="V34" s="1">
        <v>1</v>
      </c>
      <c r="W34" s="1"/>
      <c r="X34" s="1">
        <v>5</v>
      </c>
      <c r="Y34" s="1"/>
      <c r="Z34" s="1">
        <v>5</v>
      </c>
      <c r="AA34" s="1"/>
      <c r="AB34" s="1">
        <v>1</v>
      </c>
      <c r="AC34" s="1"/>
      <c r="AD34" s="1">
        <v>1</v>
      </c>
      <c r="AE34" s="1"/>
      <c r="AF34" s="1">
        <v>5</v>
      </c>
      <c r="AG34" s="1"/>
      <c r="AH34" s="1">
        <v>5</v>
      </c>
    </row>
    <row r="35" spans="3:34" x14ac:dyDescent="0.2">
      <c r="C35" s="1" t="s">
        <v>5</v>
      </c>
      <c r="D35" s="1">
        <v>1</v>
      </c>
      <c r="E35" s="1"/>
      <c r="F35" s="1">
        <v>1</v>
      </c>
      <c r="H35" s="1">
        <v>5</v>
      </c>
      <c r="I35" s="1"/>
      <c r="J35" s="1">
        <v>5</v>
      </c>
      <c r="K35" s="1"/>
      <c r="L35" s="1">
        <v>1</v>
      </c>
      <c r="M35" s="1"/>
      <c r="N35" s="1">
        <v>1</v>
      </c>
      <c r="O35" s="1"/>
      <c r="P35" s="1">
        <v>5</v>
      </c>
      <c r="Q35" s="1"/>
      <c r="R35" s="1">
        <v>5</v>
      </c>
      <c r="S35" s="1"/>
      <c r="T35" s="1">
        <v>1</v>
      </c>
      <c r="U35" s="1"/>
      <c r="V35" s="1">
        <v>1</v>
      </c>
      <c r="W35" s="1"/>
      <c r="X35" s="1">
        <v>5</v>
      </c>
      <c r="Y35" s="1"/>
      <c r="Z35" s="1">
        <v>5</v>
      </c>
      <c r="AA35" s="1"/>
      <c r="AB35" s="1">
        <v>1</v>
      </c>
      <c r="AC35" s="1"/>
      <c r="AD35" s="1">
        <v>1</v>
      </c>
      <c r="AE35" s="1"/>
      <c r="AF35" s="1">
        <v>4</v>
      </c>
      <c r="AG35" s="1"/>
      <c r="AH35" s="1">
        <v>4</v>
      </c>
    </row>
    <row r="36" spans="3:34" x14ac:dyDescent="0.2">
      <c r="C36" s="1" t="s">
        <v>6</v>
      </c>
      <c r="D36" s="1">
        <v>5</v>
      </c>
      <c r="E36" s="1"/>
      <c r="F36" s="1">
        <v>5</v>
      </c>
      <c r="H36" s="1">
        <v>5</v>
      </c>
      <c r="I36" s="1"/>
      <c r="J36" s="1">
        <v>4</v>
      </c>
      <c r="K36" s="1"/>
      <c r="L36" s="1">
        <v>2</v>
      </c>
      <c r="M36" s="1"/>
      <c r="N36" s="1">
        <v>5</v>
      </c>
      <c r="O36" s="1"/>
      <c r="P36" s="1">
        <v>5</v>
      </c>
      <c r="Q36" s="1"/>
      <c r="R36" s="1">
        <v>5</v>
      </c>
      <c r="S36" s="1"/>
      <c r="T36" s="1">
        <v>4</v>
      </c>
      <c r="U36" s="1"/>
      <c r="V36" s="1">
        <v>3</v>
      </c>
      <c r="W36" s="1"/>
      <c r="X36" s="1">
        <v>5</v>
      </c>
      <c r="Y36" s="1"/>
      <c r="Z36" s="1">
        <v>5</v>
      </c>
      <c r="AA36" s="1"/>
      <c r="AB36" s="1">
        <v>5</v>
      </c>
      <c r="AC36" s="1"/>
      <c r="AD36" s="1">
        <v>1</v>
      </c>
      <c r="AE36" s="1"/>
      <c r="AF36" s="1">
        <v>5</v>
      </c>
      <c r="AG36" s="1"/>
      <c r="AH36" s="1">
        <v>4</v>
      </c>
    </row>
    <row r="37" spans="3:34" x14ac:dyDescent="0.2">
      <c r="C37" s="1" t="s">
        <v>7</v>
      </c>
      <c r="D37" s="1">
        <v>4</v>
      </c>
      <c r="E37" s="1"/>
      <c r="F37" s="1">
        <v>4</v>
      </c>
      <c r="H37" s="1">
        <v>5</v>
      </c>
      <c r="I37" s="1"/>
      <c r="J37" s="1">
        <v>5</v>
      </c>
      <c r="K37" s="1"/>
      <c r="L37" s="1">
        <v>2</v>
      </c>
      <c r="M37" s="1"/>
      <c r="N37" s="1">
        <v>4</v>
      </c>
      <c r="O37" s="1"/>
      <c r="P37" s="1">
        <v>5</v>
      </c>
      <c r="Q37" s="1"/>
      <c r="R37" s="1">
        <v>5</v>
      </c>
      <c r="S37" s="1"/>
      <c r="T37" s="1">
        <v>4</v>
      </c>
      <c r="U37" s="1"/>
      <c r="V37" s="1">
        <v>4</v>
      </c>
      <c r="W37" s="1"/>
      <c r="X37" s="1">
        <v>5</v>
      </c>
      <c r="Y37" s="1"/>
      <c r="Z37" s="1">
        <v>5</v>
      </c>
      <c r="AA37" s="1"/>
      <c r="AB37" s="1">
        <v>1</v>
      </c>
      <c r="AC37" s="1"/>
      <c r="AD37" s="1">
        <v>2</v>
      </c>
      <c r="AE37" s="1"/>
      <c r="AF37" s="1">
        <v>5</v>
      </c>
      <c r="AG37" s="1"/>
      <c r="AH37" s="1">
        <v>5</v>
      </c>
    </row>
    <row r="38" spans="3:34" x14ac:dyDescent="0.2">
      <c r="C38" s="1" t="s">
        <v>8</v>
      </c>
      <c r="D38" s="1">
        <v>1</v>
      </c>
      <c r="E38" s="1"/>
      <c r="F38" s="1">
        <v>1</v>
      </c>
      <c r="H38" s="1">
        <v>5</v>
      </c>
      <c r="I38" s="1"/>
      <c r="J38" s="1">
        <v>5</v>
      </c>
      <c r="K38" s="1"/>
      <c r="L38" s="1">
        <v>1</v>
      </c>
      <c r="M38" s="1"/>
      <c r="N38" s="1">
        <v>2</v>
      </c>
      <c r="O38" s="1"/>
      <c r="P38" s="1">
        <v>5</v>
      </c>
      <c r="Q38" s="1"/>
      <c r="R38" s="1">
        <v>5</v>
      </c>
      <c r="S38" s="1"/>
      <c r="T38" s="1">
        <v>1</v>
      </c>
      <c r="U38" s="1"/>
      <c r="V38" s="1">
        <v>1</v>
      </c>
      <c r="W38" s="1"/>
      <c r="X38" s="1">
        <v>5</v>
      </c>
      <c r="Y38" s="1"/>
      <c r="Z38" s="1">
        <v>5</v>
      </c>
      <c r="AA38" s="1"/>
      <c r="AB38" s="1">
        <v>1</v>
      </c>
      <c r="AC38" s="1"/>
      <c r="AD38" s="1">
        <v>1</v>
      </c>
      <c r="AE38" s="1"/>
      <c r="AF38" s="1">
        <v>2</v>
      </c>
      <c r="AG38" s="1"/>
      <c r="AH38" s="1">
        <v>2</v>
      </c>
    </row>
    <row r="39" spans="3:34" x14ac:dyDescent="0.2">
      <c r="C39" s="1" t="s">
        <v>9</v>
      </c>
      <c r="D39" s="1">
        <v>2</v>
      </c>
      <c r="E39" s="1"/>
      <c r="F39" s="1">
        <v>3</v>
      </c>
      <c r="H39" s="1">
        <v>5</v>
      </c>
      <c r="I39" s="1"/>
      <c r="J39" s="1">
        <v>5</v>
      </c>
      <c r="K39" s="1"/>
      <c r="L39" s="1">
        <v>1</v>
      </c>
      <c r="M39" s="1"/>
      <c r="N39" s="1">
        <v>2</v>
      </c>
      <c r="O39" s="1"/>
      <c r="P39" s="1">
        <v>5</v>
      </c>
      <c r="Q39" s="1"/>
      <c r="R39" s="1">
        <v>5</v>
      </c>
      <c r="S39" s="1"/>
      <c r="T39" s="1">
        <v>3</v>
      </c>
      <c r="U39" s="1"/>
      <c r="V39" s="1">
        <v>1</v>
      </c>
      <c r="W39" s="1"/>
      <c r="X39" s="1">
        <v>5</v>
      </c>
      <c r="Y39" s="1"/>
      <c r="Z39" s="1">
        <v>5</v>
      </c>
      <c r="AA39" s="1"/>
      <c r="AB39" s="1">
        <v>1</v>
      </c>
      <c r="AC39" s="1"/>
      <c r="AD39" s="1">
        <v>2</v>
      </c>
      <c r="AE39" s="1"/>
      <c r="AF39" s="1">
        <v>5</v>
      </c>
      <c r="AG39" s="1"/>
      <c r="AH39" s="1">
        <v>5</v>
      </c>
    </row>
    <row r="40" spans="3:34" x14ac:dyDescent="0.2">
      <c r="C40" s="1" t="s">
        <v>10</v>
      </c>
      <c r="D40" s="1">
        <v>2</v>
      </c>
      <c r="E40" s="1"/>
      <c r="F40" s="1">
        <v>3</v>
      </c>
      <c r="H40" s="1">
        <v>5</v>
      </c>
      <c r="I40" s="1"/>
      <c r="J40" s="1">
        <v>5</v>
      </c>
      <c r="K40" s="1"/>
      <c r="L40" s="1">
        <v>2</v>
      </c>
      <c r="M40" s="1"/>
      <c r="N40" s="1">
        <v>2</v>
      </c>
      <c r="O40" s="1"/>
      <c r="P40" s="1">
        <v>5</v>
      </c>
      <c r="Q40" s="1"/>
      <c r="R40" s="1">
        <v>3</v>
      </c>
      <c r="S40" s="1"/>
      <c r="T40" s="1">
        <v>2</v>
      </c>
      <c r="U40" s="1"/>
      <c r="V40" s="1">
        <v>2</v>
      </c>
      <c r="W40" s="1"/>
      <c r="X40" s="1">
        <v>5</v>
      </c>
      <c r="Y40" s="1"/>
      <c r="Z40" s="1">
        <v>5</v>
      </c>
      <c r="AA40" s="1"/>
      <c r="AB40" s="1">
        <v>2</v>
      </c>
      <c r="AC40" s="1"/>
      <c r="AD40" s="1">
        <v>3</v>
      </c>
      <c r="AE40" s="1"/>
      <c r="AF40" s="1">
        <v>5</v>
      </c>
      <c r="AG40" s="1"/>
      <c r="AH40" s="1">
        <v>5</v>
      </c>
    </row>
    <row r="41" spans="3:34" x14ac:dyDescent="0.2">
      <c r="C41" s="1" t="s">
        <v>11</v>
      </c>
      <c r="D41" s="1">
        <v>2</v>
      </c>
      <c r="E41" s="1"/>
      <c r="F41" s="1">
        <v>4</v>
      </c>
      <c r="H41" s="1">
        <v>5</v>
      </c>
      <c r="I41" s="1"/>
      <c r="J41" s="1">
        <v>5</v>
      </c>
      <c r="K41" s="1"/>
      <c r="L41" s="1">
        <v>1</v>
      </c>
      <c r="M41" s="1"/>
      <c r="N41" s="1">
        <v>4</v>
      </c>
      <c r="O41" s="1"/>
      <c r="P41" s="1">
        <v>5</v>
      </c>
      <c r="Q41" s="1"/>
      <c r="R41" s="1">
        <v>5</v>
      </c>
      <c r="S41" s="1"/>
      <c r="T41" s="1">
        <v>1</v>
      </c>
      <c r="U41" s="1"/>
      <c r="V41" s="1">
        <v>1</v>
      </c>
      <c r="W41" s="1"/>
      <c r="X41" s="1">
        <v>5</v>
      </c>
      <c r="Y41" s="1"/>
      <c r="Z41" s="1">
        <v>5</v>
      </c>
      <c r="AA41" s="1"/>
      <c r="AB41" s="1">
        <v>2</v>
      </c>
      <c r="AC41" s="1"/>
      <c r="AD41" s="1">
        <v>1</v>
      </c>
      <c r="AE41" s="1"/>
      <c r="AF41" s="1">
        <v>4</v>
      </c>
      <c r="AG41" s="1"/>
      <c r="AH41" s="1">
        <v>4</v>
      </c>
    </row>
    <row r="42" spans="3:34" x14ac:dyDescent="0.2">
      <c r="C42" s="1" t="s">
        <v>12</v>
      </c>
      <c r="D42" s="1">
        <v>4</v>
      </c>
      <c r="E42" s="1"/>
      <c r="F42" s="1">
        <v>4</v>
      </c>
      <c r="H42" s="1">
        <v>5</v>
      </c>
      <c r="I42" s="1"/>
      <c r="J42" s="1">
        <v>5</v>
      </c>
      <c r="K42" s="1"/>
      <c r="L42" s="1">
        <v>1</v>
      </c>
      <c r="M42" s="1"/>
      <c r="N42" s="1">
        <v>2</v>
      </c>
      <c r="O42" s="1"/>
      <c r="P42" s="1">
        <v>5</v>
      </c>
      <c r="Q42" s="1"/>
      <c r="R42" s="1">
        <v>5</v>
      </c>
      <c r="S42" s="1"/>
      <c r="T42" s="1">
        <v>4</v>
      </c>
      <c r="U42" s="1"/>
      <c r="V42" s="1">
        <v>4</v>
      </c>
      <c r="W42" s="1"/>
      <c r="X42" s="1">
        <v>5</v>
      </c>
      <c r="Y42" s="1"/>
      <c r="Z42" s="1">
        <v>5</v>
      </c>
      <c r="AA42" s="1"/>
      <c r="AB42" s="1">
        <v>1</v>
      </c>
      <c r="AC42" s="1"/>
      <c r="AD42" s="1">
        <v>1</v>
      </c>
      <c r="AE42" s="1"/>
      <c r="AF42" s="1">
        <v>4</v>
      </c>
      <c r="AG42" s="1"/>
      <c r="AH42" s="1">
        <v>5</v>
      </c>
    </row>
    <row r="43" spans="3:34" x14ac:dyDescent="0.2">
      <c r="C43" s="1" t="s">
        <v>13</v>
      </c>
      <c r="D43" s="1">
        <v>1</v>
      </c>
      <c r="E43" s="1"/>
      <c r="F43" s="1">
        <v>4</v>
      </c>
      <c r="H43" s="1">
        <v>5</v>
      </c>
      <c r="I43" s="1"/>
      <c r="J43" s="1">
        <v>5</v>
      </c>
      <c r="K43" s="1"/>
      <c r="L43" s="1">
        <v>1</v>
      </c>
      <c r="M43" s="1"/>
      <c r="N43" s="1">
        <v>4</v>
      </c>
      <c r="O43" s="1"/>
      <c r="P43" s="1">
        <v>5</v>
      </c>
      <c r="Q43" s="1"/>
      <c r="R43" s="1">
        <v>5</v>
      </c>
      <c r="S43" s="1"/>
      <c r="T43" s="1">
        <v>4</v>
      </c>
      <c r="U43" s="1"/>
      <c r="V43" s="1">
        <v>4</v>
      </c>
      <c r="W43" s="1"/>
      <c r="X43" s="1">
        <v>4</v>
      </c>
      <c r="Y43" s="1"/>
      <c r="Z43" s="1">
        <v>5</v>
      </c>
      <c r="AA43" s="1"/>
      <c r="AB43" s="1">
        <v>1</v>
      </c>
      <c r="AC43" s="1"/>
      <c r="AD43" s="1">
        <v>1</v>
      </c>
      <c r="AE43" s="1"/>
      <c r="AF43" s="1">
        <v>5</v>
      </c>
      <c r="AG43" s="1"/>
      <c r="AH43" s="1">
        <v>5</v>
      </c>
    </row>
    <row r="44" spans="3:34" x14ac:dyDescent="0.2">
      <c r="C44" s="1" t="s">
        <v>14</v>
      </c>
      <c r="D44" s="1">
        <v>4</v>
      </c>
      <c r="E44" s="1"/>
      <c r="F44" s="1">
        <v>4</v>
      </c>
      <c r="H44" s="1">
        <v>4</v>
      </c>
      <c r="I44" s="1"/>
      <c r="J44" s="1">
        <v>5</v>
      </c>
      <c r="K44" s="1"/>
      <c r="L44" s="1">
        <v>4</v>
      </c>
      <c r="M44" s="1"/>
      <c r="N44" s="1">
        <v>4</v>
      </c>
      <c r="O44" s="1"/>
      <c r="P44" s="1">
        <v>4</v>
      </c>
      <c r="Q44" s="1"/>
      <c r="R44" s="1">
        <v>4</v>
      </c>
      <c r="S44" s="1"/>
      <c r="T44" s="1">
        <v>4</v>
      </c>
      <c r="U44" s="1"/>
      <c r="V44" s="1">
        <v>4</v>
      </c>
      <c r="W44" s="1"/>
      <c r="X44" s="1">
        <v>3</v>
      </c>
      <c r="Y44" s="1"/>
      <c r="Z44" s="1">
        <v>4</v>
      </c>
      <c r="AA44" s="1"/>
      <c r="AB44" s="1">
        <v>4</v>
      </c>
      <c r="AC44" s="1"/>
      <c r="AD44" s="1">
        <v>4</v>
      </c>
      <c r="AE44" s="1"/>
      <c r="AF44" s="1">
        <v>4</v>
      </c>
      <c r="AG44" s="1"/>
      <c r="AH44" s="1">
        <v>4</v>
      </c>
    </row>
    <row r="45" spans="3:34" x14ac:dyDescent="0.2">
      <c r="C45" s="1" t="s">
        <v>15</v>
      </c>
      <c r="D45" s="1">
        <v>2</v>
      </c>
      <c r="E45" s="1"/>
      <c r="F45" s="1">
        <v>4</v>
      </c>
      <c r="H45" s="1">
        <v>5</v>
      </c>
      <c r="I45" s="1"/>
      <c r="J45" s="1">
        <v>5</v>
      </c>
      <c r="K45" s="1"/>
      <c r="L45" s="1">
        <v>2</v>
      </c>
      <c r="M45" s="1"/>
      <c r="N45" s="1">
        <v>5</v>
      </c>
      <c r="O45" s="1"/>
      <c r="P45" s="1">
        <v>5</v>
      </c>
      <c r="Q45" s="1"/>
      <c r="R45" s="1">
        <v>5</v>
      </c>
      <c r="S45" s="1"/>
      <c r="T45" s="1">
        <v>4</v>
      </c>
      <c r="U45" s="1"/>
      <c r="V45" s="1">
        <v>2</v>
      </c>
      <c r="W45" s="1"/>
      <c r="X45" s="1">
        <v>5</v>
      </c>
      <c r="Y45" s="1"/>
      <c r="Z45" s="1">
        <v>5</v>
      </c>
      <c r="AA45" s="1"/>
      <c r="AB45" s="1">
        <v>2</v>
      </c>
      <c r="AC45" s="1"/>
      <c r="AD45" s="1">
        <v>1</v>
      </c>
      <c r="AE45" s="1"/>
      <c r="AF45" s="1">
        <v>5</v>
      </c>
      <c r="AG45" s="1"/>
      <c r="AH45" s="1">
        <v>4</v>
      </c>
    </row>
    <row r="46" spans="3:34" x14ac:dyDescent="0.2">
      <c r="C46" s="1" t="s">
        <v>16</v>
      </c>
      <c r="D46" s="1">
        <v>1</v>
      </c>
      <c r="E46" s="1"/>
      <c r="F46" s="1">
        <v>1</v>
      </c>
      <c r="H46" s="1">
        <v>5</v>
      </c>
      <c r="I46" s="1"/>
      <c r="J46" s="1">
        <v>5</v>
      </c>
      <c r="K46" s="1"/>
      <c r="L46" s="1">
        <v>1</v>
      </c>
      <c r="M46" s="1"/>
      <c r="N46" s="1">
        <v>1</v>
      </c>
      <c r="O46" s="1"/>
      <c r="P46" s="1">
        <v>5</v>
      </c>
      <c r="Q46" s="1"/>
      <c r="R46" s="1">
        <v>5</v>
      </c>
      <c r="S46" s="1"/>
      <c r="T46" s="1">
        <v>4</v>
      </c>
      <c r="U46" s="1"/>
      <c r="V46" s="1">
        <v>1</v>
      </c>
      <c r="W46" s="1"/>
      <c r="X46" s="1">
        <v>5</v>
      </c>
      <c r="Y46" s="1"/>
      <c r="Z46" s="1">
        <v>5</v>
      </c>
      <c r="AA46" s="1"/>
      <c r="AB46" s="1">
        <v>1</v>
      </c>
      <c r="AC46" s="1"/>
      <c r="AD46" s="1">
        <v>1</v>
      </c>
      <c r="AE46" s="1"/>
      <c r="AF46" s="1">
        <v>5</v>
      </c>
      <c r="AG46" s="1"/>
      <c r="AH46" s="1">
        <v>5</v>
      </c>
    </row>
    <row r="47" spans="3:34" x14ac:dyDescent="0.2">
      <c r="C47" s="1" t="s">
        <v>17</v>
      </c>
      <c r="D47" s="1">
        <v>1</v>
      </c>
      <c r="E47" s="1"/>
      <c r="F47" s="1">
        <v>1</v>
      </c>
      <c r="H47" s="1">
        <v>5</v>
      </c>
      <c r="I47" s="1"/>
      <c r="J47" s="1">
        <v>5</v>
      </c>
      <c r="K47" s="1"/>
      <c r="L47" s="1">
        <v>1</v>
      </c>
      <c r="M47" s="1"/>
      <c r="N47" s="1">
        <v>4</v>
      </c>
      <c r="O47" s="1"/>
      <c r="P47" s="1">
        <v>4</v>
      </c>
      <c r="Q47" s="1"/>
      <c r="R47" s="1">
        <v>4</v>
      </c>
      <c r="S47" s="1"/>
      <c r="T47" s="1">
        <v>4</v>
      </c>
      <c r="U47" s="1"/>
      <c r="V47" s="1">
        <v>1</v>
      </c>
      <c r="W47" s="1"/>
      <c r="X47" s="1">
        <v>5</v>
      </c>
      <c r="Y47" s="1"/>
      <c r="Z47" s="1">
        <v>5</v>
      </c>
      <c r="AA47" s="1"/>
      <c r="AB47" s="1">
        <v>1</v>
      </c>
      <c r="AC47" s="1"/>
      <c r="AD47" s="1">
        <v>1</v>
      </c>
      <c r="AE47" s="1"/>
      <c r="AF47" s="1">
        <v>4</v>
      </c>
      <c r="AG47" s="1"/>
      <c r="AH47" s="1">
        <v>5</v>
      </c>
    </row>
    <row r="48" spans="3:34" x14ac:dyDescent="0.2">
      <c r="C48" s="1" t="s">
        <v>18</v>
      </c>
      <c r="D48" s="1">
        <v>1</v>
      </c>
      <c r="E48" s="1"/>
      <c r="F48" s="1">
        <v>1</v>
      </c>
      <c r="H48" s="1">
        <v>5</v>
      </c>
      <c r="I48" s="1"/>
      <c r="J48" s="1">
        <v>5</v>
      </c>
      <c r="K48" s="1"/>
      <c r="L48" s="1">
        <v>2</v>
      </c>
      <c r="M48" s="1"/>
      <c r="N48" s="1">
        <v>2</v>
      </c>
      <c r="O48" s="1"/>
      <c r="P48" s="1">
        <v>5</v>
      </c>
      <c r="Q48" s="1"/>
      <c r="R48" s="1">
        <v>5</v>
      </c>
      <c r="S48" s="1"/>
      <c r="T48" s="1">
        <v>1</v>
      </c>
      <c r="U48" s="1"/>
      <c r="V48" s="1">
        <v>1</v>
      </c>
      <c r="W48" s="1"/>
      <c r="X48" s="1">
        <v>5</v>
      </c>
      <c r="Y48" s="1"/>
      <c r="Z48" s="1">
        <v>5</v>
      </c>
      <c r="AA48" s="1"/>
      <c r="AB48" s="1">
        <v>1</v>
      </c>
      <c r="AC48" s="1"/>
      <c r="AD48" s="1">
        <v>1</v>
      </c>
      <c r="AE48" s="1"/>
      <c r="AF48" s="1">
        <v>5</v>
      </c>
      <c r="AG48" s="1"/>
      <c r="AH48" s="1">
        <v>5</v>
      </c>
    </row>
    <row r="49" spans="3:34" x14ac:dyDescent="0.2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3:34" x14ac:dyDescent="0.2">
      <c r="D50" s="1">
        <f>AVERAGE(D34:D48)</f>
        <v>2.4</v>
      </c>
      <c r="E50" s="1"/>
      <c r="F50" s="1">
        <f>AVERAGE(F34:F48)</f>
        <v>3</v>
      </c>
      <c r="G50" s="1"/>
      <c r="H50" s="1">
        <f>AVERAGE(H34:H48)</f>
        <v>4.8666666666666663</v>
      </c>
      <c r="I50" s="1"/>
      <c r="J50" s="1">
        <f>AVERAGE(J34:J48)</f>
        <v>4.9333333333333336</v>
      </c>
      <c r="K50" s="1"/>
      <c r="L50" s="1">
        <f>AVERAGE(L34:L48)</f>
        <v>1.8</v>
      </c>
      <c r="M50" s="1"/>
      <c r="N50" s="1">
        <f>AVERAGE(N34:N48)</f>
        <v>3.1333333333333333</v>
      </c>
      <c r="O50" s="1"/>
      <c r="P50" s="1">
        <f>AVERAGE(P34:P48)</f>
        <v>4.8</v>
      </c>
      <c r="Q50" s="1"/>
      <c r="R50" s="1">
        <f>AVERAGE(R34:R48)</f>
        <v>4.7333333333333334</v>
      </c>
      <c r="S50" s="1"/>
      <c r="T50" s="1">
        <f>AVERAGE(T34:T48)</f>
        <v>3.0666666666666669</v>
      </c>
      <c r="U50" s="1"/>
      <c r="V50" s="1">
        <f>AVERAGE(V34:V48)</f>
        <v>2.0666666666666669</v>
      </c>
      <c r="W50" s="1"/>
      <c r="X50" s="1">
        <f>AVERAGE(X34:X48)</f>
        <v>4.8</v>
      </c>
      <c r="Y50" s="1"/>
      <c r="Z50" s="1">
        <f>AVERAGE(Z34:Z48)</f>
        <v>4.9333333333333336</v>
      </c>
      <c r="AA50" s="1"/>
      <c r="AB50" s="1">
        <f>AVERAGE(AB34:AB48)</f>
        <v>1.6666666666666667</v>
      </c>
      <c r="AC50" s="1"/>
      <c r="AD50" s="1">
        <f>AVERAGE(AD34:AD48)</f>
        <v>1.4666666666666666</v>
      </c>
      <c r="AE50" s="1"/>
      <c r="AF50" s="1">
        <f>AVERAGE(AF34:AF48)</f>
        <v>4.4666666666666668</v>
      </c>
      <c r="AG50" s="1"/>
      <c r="AH50" s="1">
        <f>AVERAGE(AH34:AH48)</f>
        <v>4.4666666666666668</v>
      </c>
    </row>
    <row r="51" spans="3:34" x14ac:dyDescent="0.2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3:34" x14ac:dyDescent="0.2">
      <c r="C52" s="1" t="s">
        <v>19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3:34" x14ac:dyDescent="0.2">
      <c r="C53" s="1" t="s">
        <v>0</v>
      </c>
      <c r="D53" s="1">
        <f>AVERAGE(D50,F50,L50,N50,T50,V50,AB50,AD50)</f>
        <v>2.3249999999999997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3:34" x14ac:dyDescent="0.2">
      <c r="C54" s="1" t="s">
        <v>1</v>
      </c>
      <c r="D54" s="1">
        <f>AVERAGE(H50,J50,P50,R50,X50,Z50,AF50,AH50)</f>
        <v>4.7500000000000009</v>
      </c>
    </row>
    <row r="57" spans="3:34" x14ac:dyDescent="0.2">
      <c r="C57" s="1"/>
    </row>
    <row r="58" spans="3:34" x14ac:dyDescent="0.2">
      <c r="C58" s="1"/>
      <c r="D58" s="1" t="s">
        <v>0</v>
      </c>
      <c r="E58" s="1" t="s">
        <v>1</v>
      </c>
    </row>
    <row r="59" spans="3:34" x14ac:dyDescent="0.2">
      <c r="C59" s="1" t="s">
        <v>20</v>
      </c>
      <c r="D59" s="1">
        <f>D26</f>
        <v>3.1833333333333331</v>
      </c>
      <c r="E59" s="1">
        <f>D27</f>
        <v>2.5333333333333332</v>
      </c>
    </row>
    <row r="60" spans="3:34" x14ac:dyDescent="0.2">
      <c r="C60" s="1" t="s">
        <v>21</v>
      </c>
      <c r="D60" s="1">
        <f>D53</f>
        <v>2.3249999999999997</v>
      </c>
      <c r="E60" s="1">
        <f>D54</f>
        <v>4.7500000000000009</v>
      </c>
    </row>
    <row r="79" spans="3:3" ht="21" x14ac:dyDescent="0.25">
      <c r="C79" s="4" t="s">
        <v>22</v>
      </c>
    </row>
    <row r="90" spans="3:13" ht="21" x14ac:dyDescent="0.25">
      <c r="C90" s="4" t="s">
        <v>55</v>
      </c>
      <c r="M90" s="4" t="s">
        <v>59</v>
      </c>
    </row>
    <row r="92" spans="3:13" ht="19" x14ac:dyDescent="0.25">
      <c r="C92" s="5" t="s">
        <v>56</v>
      </c>
      <c r="M92" s="5" t="s">
        <v>60</v>
      </c>
    </row>
    <row r="100" spans="3:13" ht="19" x14ac:dyDescent="0.25">
      <c r="C100" s="5" t="s">
        <v>57</v>
      </c>
      <c r="M100" s="5" t="s">
        <v>61</v>
      </c>
    </row>
    <row r="108" spans="3:13" ht="21" x14ac:dyDescent="0.25">
      <c r="C108" s="6" t="s">
        <v>58</v>
      </c>
      <c r="M108" s="6" t="s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2025-07-01T09:18:47Z</dcterms:created>
  <dcterms:modified xsi:type="dcterms:W3CDTF">2025-07-03T12:30:23Z</dcterms:modified>
</cp:coreProperties>
</file>