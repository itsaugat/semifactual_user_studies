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gat/Desktop/github/semifactual_user_stuides/user_data/"/>
    </mc:Choice>
  </mc:AlternateContent>
  <xr:revisionPtr revIDLastSave="0" documentId="13_ncr:1_{37B7BCFE-CD47-124A-AABC-8017DBB2D501}" xr6:coauthVersionLast="47" xr6:coauthVersionMax="47" xr10:uidLastSave="{00000000-0000-0000-0000-000000000000}"/>
  <bookViews>
    <workbookView xWindow="0" yWindow="500" windowWidth="27640" windowHeight="15300" activeTab="1" xr2:uid="{EC2F5D1C-9962-7B43-9B0D-1083EEFF5DF6}"/>
  </bookViews>
  <sheets>
    <sheet name="plain_sf_first " sheetId="2" r:id="rId1"/>
    <sheet name="informative_sf_first" sheetId="1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9" i="2" l="1"/>
  <c r="E55" i="2" s="1"/>
  <c r="D25" i="2"/>
  <c r="E54" i="2" s="1"/>
  <c r="D48" i="2"/>
  <c r="D55" i="2" s="1"/>
  <c r="D24" i="2"/>
  <c r="D54" i="2" s="1"/>
  <c r="D47" i="1"/>
  <c r="D54" i="1" s="1"/>
  <c r="D24" i="1"/>
  <c r="D53" i="1" s="1"/>
  <c r="D48" i="1"/>
  <c r="E54" i="1" s="1"/>
  <c r="D25" i="1"/>
  <c r="E53" i="1" s="1"/>
  <c r="E7" i="3" l="1"/>
  <c r="E8" i="3"/>
  <c r="D7" i="3"/>
  <c r="D8" i="3"/>
</calcChain>
</file>

<file path=xl/sharedStrings.xml><?xml version="1.0" encoding="utf-8"?>
<sst xmlns="http://schemas.openxmlformats.org/spreadsheetml/2006/main" count="1112" uniqueCount="57">
  <si>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</si>
  <si>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</si>
  <si>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</si>
  <si>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</si>
  <si>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</si>
  <si>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</si>
  <si>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</si>
  <si>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</si>
  <si>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</si>
  <si>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</si>
  <si>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Loan Accept</t>
  </si>
  <si>
    <t>Loan Reject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</si>
  <si>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</si>
  <si>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</si>
  <si>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</si>
  <si>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</si>
  <si>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</si>
  <si>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</si>
  <si>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</si>
  <si>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</si>
  <si>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</si>
  <si>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</si>
  <si>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</si>
  <si>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</si>
  <si>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</si>
  <si>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</si>
  <si>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</si>
  <si>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</si>
  <si>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</si>
  <si>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</si>
  <si>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</si>
  <si>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</si>
  <si>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</si>
  <si>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</si>
  <si>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</si>
  <si>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</si>
  <si>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</si>
  <si>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</si>
  <si>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</si>
  <si>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</si>
  <si>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</si>
  <si>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</si>
  <si>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</si>
  <si>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</si>
  <si>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Across All</t>
  </si>
  <si>
    <t>Accept</t>
  </si>
  <si>
    <t>Reject</t>
  </si>
  <si>
    <t>U11</t>
  </si>
  <si>
    <t>U12</t>
  </si>
  <si>
    <t>U13</t>
  </si>
  <si>
    <t>U14</t>
  </si>
  <si>
    <t>U15</t>
  </si>
  <si>
    <t>Informative-SF</t>
  </si>
  <si>
    <t>Plain-SF</t>
  </si>
  <si>
    <t>Plain-Sf</t>
  </si>
  <si>
    <t>informative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</si>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</sst>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'plain_sf_first '!$D$53</c:f>
              <c:strCache>
                <c:ptCount val="1"/>
                <c:pt idx="0">
                  <c:v>Plain-SF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'plain_sf_first '!$C$54:$C$55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'plain_sf_first '!$D$54:$D$55</c:f>
              <c:numCache>
                <c:formatCode>General</c:formatCode>
                <c:ptCount val="2"/>
                <c:pt idx="0">
                  <c:v>35</c:v>
                </c:pt>
                <c:pt idx="1">
                  <c:v>20.416666666666668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9-344D-99A4-8D00DC7597AF}"/>
            </c:ext>
          </c:extLst>
        </c:ser>
        <c:ser>
          <c:idx val="1"/>
          <c:order val="1"/>
          <c:tx>
            <c:strRef>
              <c:f>'plain_sf_first '!$E$53</c:f>
              <c:strCache>
                <c:ptCount val="1"/>
                <c:pt idx="0">
                  <c:v>Informative-SF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'plain_sf_first '!$C$54:$C$55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'plain_sf_first '!$E$54:$E$55</c:f>
              <c:numCache>
                <c:formatCode>General</c:formatCode>
                <c:ptCount val="2"/>
                <c:pt idx="0">
                  <c:v>65</c:v>
                </c:pt>
                <c:pt idx="1">
                  <c:v>79.583333333333329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9-344D-99A4-8D00DC75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4672"/>
        <c:axId val="1671306320"/>
      </c:barChart>
      <c:catAx>
        <c:axId val="16713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6320"/>
        <c:crosses val="autoZero"/>
        <c:auto val="1"/>
        <c:lblAlgn val="ctr"/>
        <c:lblOffset val="100"/>
        <c:noMultiLvlLbl val="0"/>
      </c:catAx>
      <c:valAx>
        <c:axId val="1671306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informative_sf_first!$D$52</c:f>
              <c:strCache>
                <c:ptCount val="1"/>
                <c:pt idx="0">
                  <c:v>Plain-SF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informative_sf_first!$C$53:$C$54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informative_sf_first!$D$53:$D$54</c:f>
              <c:numCache>
                <c:formatCode>General</c:formatCode>
                <c:ptCount val="2"/>
                <c:pt idx="0">
                  <c:v>27.083333333333332</c:v>
                </c:pt>
                <c:pt idx="1">
                  <c:v>19.583333333333332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F-6342-BD7B-A0B9095F0A66}"/>
            </c:ext>
          </c:extLst>
        </c:ser>
        <c:ser>
          <c:idx val="1"/>
          <c:order val="1"/>
          <c:tx>
            <c:strRef>
              <c:f>informative_sf_first!$E$52</c:f>
              <c:strCache>
                <c:ptCount val="1"/>
                <c:pt idx="0">
                  <c:v>Informative-SF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informative_sf_first!$C$53:$C$54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informative_sf_first!$E$53:$E$54</c:f>
              <c:numCache>
                <c:formatCode>General</c:formatCode>
                <c:ptCount val="2"/>
                <c:pt idx="0">
                  <c:v>72.916666666666657</c:v>
                </c:pt>
                <c:pt idx="1">
                  <c:v>80.416666666666671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F-6342-BD7B-A0B9095F0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682144"/>
        <c:axId val="1922270496"/>
      </c:barChart>
      <c:catAx>
        <c:axId val="16716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270496"/>
        <c:crosses val="autoZero"/>
        <c:auto val="1"/>
        <c:lblAlgn val="ctr"/>
        <c:lblOffset val="100"/>
        <c:noMultiLvlLbl val="0"/>
      </c:catAx>
      <c:valAx>
        <c:axId val="19222704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of </a:t>
            </a:r>
            <a:r>
              <a:rPr lang="en-GB"/>
              <a:t>Plain-SF</a:t>
            </a:r>
            <a:r>
              <a:rPr lang="en-GB" baseline="0"/>
              <a:t> vs Inforamtive-SF Selected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combined!$D$6</c:f>
              <c:strCache>
                <c:ptCount val="1"/>
                <c:pt idx="0">
                  <c:v>Plain-SF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combined!$C$7:$C$8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combined!$D$7:$D$8</c:f>
              <c:numCache>
                <c:formatCode>General</c:formatCode>
                <c:ptCount val="2"/>
                <c:pt idx="0">
                  <c:v>31.041666666666664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3247-9F91-419124DB2F3E}"/>
            </c:ext>
          </c:extLst>
        </c:ser>
        <c:ser>
          <c:idx val="1"/>
          <c:order val="1"/>
          <c:tx>
            <c:strRef>
              <c:f>combined!$E$6</c:f>
              <c:strCache>
                <c:ptCount val="1"/>
                <c:pt idx="0">
                  <c:v>Informative-SF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combined!$C$7:$C$8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combined!$E$7:$E$8</c:f>
              <c:numCache>
                <c:formatCode>General</c:formatCode>
                <c:ptCount val="2"/>
                <c:pt idx="0">
                  <c:v>68.958333333333329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3247-9F91-419124DB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3195680"/>
        <c:axId val="2120219808"/>
      </c:barChart>
      <c:catAx>
        <c:axId val="21331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19808"/>
        <c:crosses val="autoZero"/>
        <c:auto val="1"/>
        <c:lblAlgn val="ctr"/>
        <c:lblOffset val="100"/>
        <c:noMultiLvlLbl val="0"/>
      </c:catAx>
      <c:valAx>
        <c:axId val="21202198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9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51</xdr:row>
      <xdr:rowOff>177800</xdr:rowOff>
    </xdr:from>
    <xdr:to>
      <xdr:col>11</xdr:col>
      <xdr:colOff>800100</xdr:colOff>
      <xdr:row>66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FC9A0-425B-7819-5878-DCC73B13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50</xdr:row>
      <xdr:rowOff>177800</xdr:rowOff>
    </xdr:from>
    <xdr:to>
      <xdr:col>11</xdr:col>
      <xdr:colOff>800100</xdr:colOff>
      <xdr:row>65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5F16D-B95A-C2C6-ABE3-EEB638CB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5</xdr:row>
      <xdr:rowOff>114300</xdr:rowOff>
    </xdr:from>
    <xdr:to>
      <xdr:col>14</xdr:col>
      <xdr:colOff>266700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3A855-37B1-329C-9C74-27E0B8787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1B9B-7CA1-A74F-9E11-CDA745794581}">
  <dimension ref="C4:AR55"/>
  <sheetViews>
    <sheetView topLeftCell="A32" workbookViewId="0">
      <selection activeCell="C59" sqref="C59"/>
    </sheetView>
  </sheetViews>
  <sheetFormatPr baseColWidth="10" defaultRowHeight="16" x14ac:dyDescent="0.2"/>
  <sheetData>
    <row r="4" spans="3:44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3:44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3:44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 t="s">
        <v>24</v>
      </c>
      <c r="AC6" s="2"/>
      <c r="AD6" s="2" t="s">
        <v>25</v>
      </c>
      <c r="AE6" s="2"/>
      <c r="AF6" s="2" t="s">
        <v>26</v>
      </c>
      <c r="AG6" s="2"/>
      <c r="AH6" s="2" t="s">
        <v>27</v>
      </c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3:44" x14ac:dyDescent="0.2">
      <c r="C7" s="2" t="s">
        <v>0</v>
      </c>
      <c r="D7" t="s">
        <v>55</v>
      </c>
      <c r="F7" t="s">
        <v>55</v>
      </c>
      <c r="H7" t="s">
        <v>55</v>
      </c>
      <c r="J7" t="s">
        <v>55</v>
      </c>
      <c r="L7" t="s">
        <v>55</v>
      </c>
      <c r="N7" t="s">
        <v>55</v>
      </c>
      <c r="P7" t="s">
        <v>55</v>
      </c>
      <c r="R7" t="s">
        <v>55</v>
      </c>
      <c r="T7" t="s">
        <v>55</v>
      </c>
      <c r="V7" t="s">
        <v>55</v>
      </c>
      <c r="X7" t="s">
        <v>55</v>
      </c>
      <c r="Z7" t="s">
        <v>55</v>
      </c>
      <c r="AB7" t="s">
        <v>55</v>
      </c>
      <c r="AD7" t="s">
        <v>55</v>
      </c>
      <c r="AF7" t="s">
        <v>55</v>
      </c>
      <c r="AH7" t="s">
        <v>55</v>
      </c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3:44" x14ac:dyDescent="0.2">
      <c r="C8" s="2" t="s">
        <v>1</v>
      </c>
      <c r="D8" t="s">
        <v>55</v>
      </c>
      <c r="F8" t="s">
        <v>55</v>
      </c>
      <c r="H8" t="s">
        <v>56</v>
      </c>
      <c r="J8" t="s">
        <v>56</v>
      </c>
      <c r="L8" t="s">
        <v>55</v>
      </c>
      <c r="N8" t="s">
        <v>56</v>
      </c>
      <c r="P8" t="s">
        <v>56</v>
      </c>
      <c r="R8" t="s">
        <v>56</v>
      </c>
      <c r="T8" t="s">
        <v>55</v>
      </c>
      <c r="V8" t="s">
        <v>56</v>
      </c>
      <c r="X8" t="s">
        <v>56</v>
      </c>
      <c r="Z8" t="s">
        <v>56</v>
      </c>
      <c r="AB8" t="s">
        <v>56</v>
      </c>
      <c r="AD8" t="s">
        <v>55</v>
      </c>
      <c r="AF8" t="s">
        <v>55</v>
      </c>
      <c r="AH8" t="s">
        <v>56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3:44" x14ac:dyDescent="0.2">
      <c r="C9" s="2" t="s">
        <v>2</v>
      </c>
      <c r="D9" t="s">
        <v>56</v>
      </c>
      <c r="F9" t="s">
        <v>55</v>
      </c>
      <c r="H9" t="s">
        <v>56</v>
      </c>
      <c r="J9" t="s">
        <v>56</v>
      </c>
      <c r="L9" t="s">
        <v>55</v>
      </c>
      <c r="N9" t="s">
        <v>56</v>
      </c>
      <c r="P9" t="s">
        <v>56</v>
      </c>
      <c r="R9" t="s">
        <v>56</v>
      </c>
      <c r="T9" t="s">
        <v>56</v>
      </c>
      <c r="V9" t="s">
        <v>56</v>
      </c>
      <c r="X9" t="s">
        <v>56</v>
      </c>
      <c r="Z9" t="s">
        <v>55</v>
      </c>
      <c r="AB9" t="s">
        <v>55</v>
      </c>
      <c r="AD9" t="s">
        <v>56</v>
      </c>
      <c r="AF9" t="s">
        <v>55</v>
      </c>
      <c r="AH9" t="s">
        <v>56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3:44" x14ac:dyDescent="0.2">
      <c r="C10" s="2" t="s">
        <v>3</v>
      </c>
      <c r="D10" t="s">
        <v>55</v>
      </c>
      <c r="F10" t="s">
        <v>55</v>
      </c>
      <c r="H10" t="s">
        <v>55</v>
      </c>
      <c r="J10" t="s">
        <v>55</v>
      </c>
      <c r="L10" t="s">
        <v>55</v>
      </c>
      <c r="N10" t="s">
        <v>56</v>
      </c>
      <c r="P10" t="s">
        <v>55</v>
      </c>
      <c r="R10" t="s">
        <v>55</v>
      </c>
      <c r="T10" t="s">
        <v>55</v>
      </c>
      <c r="V10" t="s">
        <v>55</v>
      </c>
      <c r="X10" t="s">
        <v>56</v>
      </c>
      <c r="Z10" t="s">
        <v>56</v>
      </c>
      <c r="AB10" t="s">
        <v>55</v>
      </c>
      <c r="AD10" t="s">
        <v>55</v>
      </c>
      <c r="AF10" t="s">
        <v>56</v>
      </c>
      <c r="AH10" t="s">
        <v>55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3:44" x14ac:dyDescent="0.2">
      <c r="C11" s="2" t="s">
        <v>4</v>
      </c>
      <c r="D11" t="s">
        <v>55</v>
      </c>
      <c r="F11" t="s">
        <v>55</v>
      </c>
      <c r="H11" t="s">
        <v>55</v>
      </c>
      <c r="J11" t="s">
        <v>55</v>
      </c>
      <c r="L11" t="s">
        <v>55</v>
      </c>
      <c r="N11" t="s">
        <v>55</v>
      </c>
      <c r="P11" t="s">
        <v>56</v>
      </c>
      <c r="R11" t="s">
        <v>55</v>
      </c>
      <c r="T11" t="s">
        <v>55</v>
      </c>
      <c r="V11" t="s">
        <v>56</v>
      </c>
      <c r="X11" t="s">
        <v>55</v>
      </c>
      <c r="Z11" t="s">
        <v>55</v>
      </c>
      <c r="AB11" t="s">
        <v>55</v>
      </c>
      <c r="AD11" t="s">
        <v>55</v>
      </c>
      <c r="AF11" t="s">
        <v>55</v>
      </c>
      <c r="AH11" t="s">
        <v>55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3:44" x14ac:dyDescent="0.2">
      <c r="C12" s="2" t="s">
        <v>5</v>
      </c>
      <c r="D12" t="s">
        <v>55</v>
      </c>
      <c r="F12" t="s">
        <v>55</v>
      </c>
      <c r="H12" t="s">
        <v>55</v>
      </c>
      <c r="J12" t="s">
        <v>55</v>
      </c>
      <c r="L12" t="s">
        <v>55</v>
      </c>
      <c r="N12" t="s">
        <v>55</v>
      </c>
      <c r="P12" t="s">
        <v>55</v>
      </c>
      <c r="R12" t="s">
        <v>56</v>
      </c>
      <c r="T12" t="s">
        <v>55</v>
      </c>
      <c r="V12" t="s">
        <v>56</v>
      </c>
      <c r="X12" t="s">
        <v>56</v>
      </c>
      <c r="Z12" t="s">
        <v>55</v>
      </c>
      <c r="AB12" t="s">
        <v>56</v>
      </c>
      <c r="AD12" t="s">
        <v>55</v>
      </c>
      <c r="AF12" t="s">
        <v>55</v>
      </c>
      <c r="AH12" t="s">
        <v>55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3:44" x14ac:dyDescent="0.2">
      <c r="C13" s="2" t="s">
        <v>6</v>
      </c>
      <c r="D13" t="s">
        <v>55</v>
      </c>
      <c r="F13" t="s">
        <v>55</v>
      </c>
      <c r="H13" t="s">
        <v>56</v>
      </c>
      <c r="J13" t="s">
        <v>55</v>
      </c>
      <c r="L13" t="s">
        <v>55</v>
      </c>
      <c r="N13" t="s">
        <v>55</v>
      </c>
      <c r="P13" t="s">
        <v>56</v>
      </c>
      <c r="R13" t="s">
        <v>55</v>
      </c>
      <c r="T13" t="s">
        <v>56</v>
      </c>
      <c r="V13" t="s">
        <v>56</v>
      </c>
      <c r="X13" t="s">
        <v>56</v>
      </c>
      <c r="Z13" t="s">
        <v>55</v>
      </c>
      <c r="AB13" t="s">
        <v>55</v>
      </c>
      <c r="AD13" t="s">
        <v>55</v>
      </c>
      <c r="AF13" t="s">
        <v>55</v>
      </c>
      <c r="AH13" t="s">
        <v>56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3:44" x14ac:dyDescent="0.2">
      <c r="C14" s="2" t="s">
        <v>7</v>
      </c>
      <c r="D14" t="s">
        <v>56</v>
      </c>
      <c r="F14" t="s">
        <v>56</v>
      </c>
      <c r="H14" t="s">
        <v>55</v>
      </c>
      <c r="J14" t="s">
        <v>56</v>
      </c>
      <c r="L14" t="s">
        <v>55</v>
      </c>
      <c r="N14" t="s">
        <v>55</v>
      </c>
      <c r="P14" t="s">
        <v>56</v>
      </c>
      <c r="R14" t="s">
        <v>56</v>
      </c>
      <c r="T14" t="s">
        <v>55</v>
      </c>
      <c r="V14" t="s">
        <v>56</v>
      </c>
      <c r="X14" t="s">
        <v>56</v>
      </c>
      <c r="Z14" t="s">
        <v>56</v>
      </c>
      <c r="AB14" t="s">
        <v>56</v>
      </c>
      <c r="AD14" t="s">
        <v>56</v>
      </c>
      <c r="AF14" t="s">
        <v>56</v>
      </c>
      <c r="AH14" t="s">
        <v>56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3:44" x14ac:dyDescent="0.2">
      <c r="C15" s="2" t="s">
        <v>8</v>
      </c>
      <c r="D15" t="s">
        <v>56</v>
      </c>
      <c r="F15" t="s">
        <v>56</v>
      </c>
      <c r="H15" t="s">
        <v>56</v>
      </c>
      <c r="J15" t="s">
        <v>56</v>
      </c>
      <c r="L15" t="s">
        <v>56</v>
      </c>
      <c r="N15" t="s">
        <v>56</v>
      </c>
      <c r="P15" t="s">
        <v>56</v>
      </c>
      <c r="R15" t="s">
        <v>56</v>
      </c>
      <c r="T15" t="s">
        <v>56</v>
      </c>
      <c r="V15" t="s">
        <v>56</v>
      </c>
      <c r="X15" t="s">
        <v>55</v>
      </c>
      <c r="Z15" t="s">
        <v>56</v>
      </c>
      <c r="AB15" t="s">
        <v>56</v>
      </c>
      <c r="AD15" t="s">
        <v>56</v>
      </c>
      <c r="AF15" t="s">
        <v>56</v>
      </c>
      <c r="AH15" t="s">
        <v>55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3:44" x14ac:dyDescent="0.2">
      <c r="C16" s="2" t="s">
        <v>9</v>
      </c>
      <c r="D16" t="s">
        <v>55</v>
      </c>
      <c r="F16" t="s">
        <v>55</v>
      </c>
      <c r="H16" t="s">
        <v>55</v>
      </c>
      <c r="J16" t="s">
        <v>55</v>
      </c>
      <c r="L16" t="s">
        <v>55</v>
      </c>
      <c r="N16" t="s">
        <v>55</v>
      </c>
      <c r="P16" t="s">
        <v>55</v>
      </c>
      <c r="R16" t="s">
        <v>55</v>
      </c>
      <c r="T16" t="s">
        <v>55</v>
      </c>
      <c r="V16" t="s">
        <v>55</v>
      </c>
      <c r="X16" t="s">
        <v>55</v>
      </c>
      <c r="Z16" t="s">
        <v>55</v>
      </c>
      <c r="AB16" t="s">
        <v>55</v>
      </c>
      <c r="AD16" t="s">
        <v>55</v>
      </c>
      <c r="AF16" t="s">
        <v>55</v>
      </c>
      <c r="AH16" t="s">
        <v>55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3:44" x14ac:dyDescent="0.2">
      <c r="C17" s="2" t="s">
        <v>47</v>
      </c>
      <c r="D17" t="s">
        <v>55</v>
      </c>
      <c r="F17" t="s">
        <v>55</v>
      </c>
      <c r="H17" t="s">
        <v>55</v>
      </c>
      <c r="J17" t="s">
        <v>55</v>
      </c>
      <c r="L17" t="s">
        <v>55</v>
      </c>
      <c r="N17" t="s">
        <v>55</v>
      </c>
      <c r="P17" t="s">
        <v>55</v>
      </c>
      <c r="R17" t="s">
        <v>55</v>
      </c>
      <c r="T17" t="s">
        <v>55</v>
      </c>
      <c r="V17" t="s">
        <v>55</v>
      </c>
      <c r="X17" t="s">
        <v>55</v>
      </c>
      <c r="Z17" t="s">
        <v>55</v>
      </c>
      <c r="AB17" t="s">
        <v>55</v>
      </c>
      <c r="AD17" t="s">
        <v>56</v>
      </c>
      <c r="AF17" t="s">
        <v>55</v>
      </c>
      <c r="AH17" t="s">
        <v>56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3:44" x14ac:dyDescent="0.2">
      <c r="C18" s="2" t="s">
        <v>48</v>
      </c>
      <c r="D18" t="s">
        <v>56</v>
      </c>
      <c r="F18" t="s">
        <v>56</v>
      </c>
      <c r="H18" t="s">
        <v>55</v>
      </c>
      <c r="J18" t="s">
        <v>56</v>
      </c>
      <c r="L18" t="s">
        <v>56</v>
      </c>
      <c r="N18" t="s">
        <v>55</v>
      </c>
      <c r="P18" t="s">
        <v>56</v>
      </c>
      <c r="R18" t="s">
        <v>55</v>
      </c>
      <c r="T18" t="s">
        <v>55</v>
      </c>
      <c r="V18" t="s">
        <v>56</v>
      </c>
      <c r="X18" t="s">
        <v>56</v>
      </c>
      <c r="Z18" t="s">
        <v>55</v>
      </c>
      <c r="AB18" t="s">
        <v>56</v>
      </c>
      <c r="AD18" t="s">
        <v>56</v>
      </c>
      <c r="AF18" t="s">
        <v>55</v>
      </c>
      <c r="AH18" t="s">
        <v>56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3:44" x14ac:dyDescent="0.2">
      <c r="C19" s="2" t="s">
        <v>49</v>
      </c>
      <c r="D19" t="s">
        <v>56</v>
      </c>
      <c r="F19" t="s">
        <v>55</v>
      </c>
      <c r="H19" t="s">
        <v>55</v>
      </c>
      <c r="J19" t="s">
        <v>56</v>
      </c>
      <c r="L19" t="s">
        <v>55</v>
      </c>
      <c r="N19" t="s">
        <v>56</v>
      </c>
      <c r="P19" t="s">
        <v>56</v>
      </c>
      <c r="R19" t="s">
        <v>56</v>
      </c>
      <c r="T19" t="s">
        <v>55</v>
      </c>
      <c r="V19" t="s">
        <v>55</v>
      </c>
      <c r="X19" t="s">
        <v>56</v>
      </c>
      <c r="Z19" t="s">
        <v>55</v>
      </c>
      <c r="AB19" t="s">
        <v>56</v>
      </c>
      <c r="AD19" t="s">
        <v>56</v>
      </c>
      <c r="AF19" t="s">
        <v>55</v>
      </c>
      <c r="AH19" t="s">
        <v>56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3:44" x14ac:dyDescent="0.2">
      <c r="C20" s="2" t="s">
        <v>50</v>
      </c>
      <c r="D20" t="s">
        <v>55</v>
      </c>
      <c r="F20" t="s">
        <v>55</v>
      </c>
      <c r="H20" t="s">
        <v>55</v>
      </c>
      <c r="J20" t="s">
        <v>55</v>
      </c>
      <c r="L20" t="s">
        <v>55</v>
      </c>
      <c r="N20" t="s">
        <v>55</v>
      </c>
      <c r="P20" t="s">
        <v>55</v>
      </c>
      <c r="R20" t="s">
        <v>55</v>
      </c>
      <c r="T20" t="s">
        <v>55</v>
      </c>
      <c r="V20" t="s">
        <v>55</v>
      </c>
      <c r="X20" t="s">
        <v>55</v>
      </c>
      <c r="Z20" t="s">
        <v>55</v>
      </c>
      <c r="AB20" t="s">
        <v>55</v>
      </c>
      <c r="AD20" t="s">
        <v>55</v>
      </c>
      <c r="AF20" t="s">
        <v>55</v>
      </c>
      <c r="AH20" t="s">
        <v>55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3:44" x14ac:dyDescent="0.2">
      <c r="C21" s="2" t="s">
        <v>51</v>
      </c>
      <c r="D21" t="s">
        <v>55</v>
      </c>
      <c r="F21" t="s">
        <v>55</v>
      </c>
      <c r="H21" t="s">
        <v>55</v>
      </c>
      <c r="J21" t="s">
        <v>55</v>
      </c>
      <c r="L21" t="s">
        <v>55</v>
      </c>
      <c r="N21" t="s">
        <v>55</v>
      </c>
      <c r="P21" t="s">
        <v>55</v>
      </c>
      <c r="R21" t="s">
        <v>55</v>
      </c>
      <c r="T21" t="s">
        <v>55</v>
      </c>
      <c r="V21" t="s">
        <v>55</v>
      </c>
      <c r="X21" t="s">
        <v>55</v>
      </c>
      <c r="Z21" t="s">
        <v>55</v>
      </c>
      <c r="AB21" t="s">
        <v>55</v>
      </c>
      <c r="AD21" t="s">
        <v>55</v>
      </c>
      <c r="AF21" t="s">
        <v>55</v>
      </c>
      <c r="AH21" t="s">
        <v>55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3:44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3:44" x14ac:dyDescent="0.2">
      <c r="C23" s="2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3:44" x14ac:dyDescent="0.2">
      <c r="C24" s="2" t="s">
        <v>54</v>
      </c>
      <c r="D24" s="2">
        <f>COUNTIF(D7:AH21,"plain")</f>
        <v>84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3:44" x14ac:dyDescent="0.2">
      <c r="C25" s="2" t="s">
        <v>52</v>
      </c>
      <c r="D25" s="2">
        <f>COUNTIF(D7:AH21,"informative")</f>
        <v>156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3:44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3:44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3:44" x14ac:dyDescent="0.2">
      <c r="C28" s="1" t="s">
        <v>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3:44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3:44" x14ac:dyDescent="0.2">
      <c r="C30" s="2"/>
      <c r="D30" s="2" t="s">
        <v>28</v>
      </c>
      <c r="E30" s="2"/>
      <c r="F30" s="2" t="s">
        <v>29</v>
      </c>
      <c r="G30" s="2"/>
      <c r="H30" s="2" t="s">
        <v>30</v>
      </c>
      <c r="I30" s="2"/>
      <c r="J30" s="2" t="s">
        <v>31</v>
      </c>
      <c r="K30" s="2"/>
      <c r="L30" s="2" t="s">
        <v>32</v>
      </c>
      <c r="M30" s="2"/>
      <c r="N30" s="2" t="s">
        <v>33</v>
      </c>
      <c r="O30" s="2"/>
      <c r="P30" s="2" t="s">
        <v>34</v>
      </c>
      <c r="Q30" s="2"/>
      <c r="R30" s="2" t="s">
        <v>35</v>
      </c>
      <c r="S30" s="2"/>
      <c r="T30" s="2" t="s">
        <v>36</v>
      </c>
      <c r="U30" s="2"/>
      <c r="V30" s="2" t="s">
        <v>37</v>
      </c>
      <c r="W30" s="2"/>
      <c r="X30" s="2" t="s">
        <v>38</v>
      </c>
      <c r="Y30" s="2"/>
      <c r="Z30" s="2" t="s">
        <v>39</v>
      </c>
      <c r="AA30" s="2"/>
      <c r="AB30" s="2" t="s">
        <v>40</v>
      </c>
      <c r="AC30" s="2"/>
      <c r="AD30" s="2" t="s">
        <v>41</v>
      </c>
      <c r="AE30" s="2"/>
      <c r="AF30" s="2" t="s">
        <v>42</v>
      </c>
      <c r="AG30" s="2"/>
      <c r="AH30" s="2" t="s">
        <v>43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3:44" x14ac:dyDescent="0.2">
      <c r="C31" s="2" t="s">
        <v>0</v>
      </c>
      <c r="D31" t="s">
        <v>55</v>
      </c>
      <c r="F31" t="s">
        <v>55</v>
      </c>
      <c r="H31" t="s">
        <v>55</v>
      </c>
      <c r="J31" t="s">
        <v>55</v>
      </c>
      <c r="L31" t="s">
        <v>55</v>
      </c>
      <c r="N31" t="s">
        <v>55</v>
      </c>
      <c r="P31" t="s">
        <v>55</v>
      </c>
      <c r="R31" t="s">
        <v>55</v>
      </c>
      <c r="T31" t="s">
        <v>55</v>
      </c>
      <c r="V31" t="s">
        <v>55</v>
      </c>
      <c r="X31" t="s">
        <v>55</v>
      </c>
      <c r="Z31" t="s">
        <v>55</v>
      </c>
      <c r="AB31" t="s">
        <v>55</v>
      </c>
      <c r="AD31" t="s">
        <v>55</v>
      </c>
      <c r="AF31" t="s">
        <v>55</v>
      </c>
      <c r="AH31" t="s">
        <v>55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3:44" x14ac:dyDescent="0.2">
      <c r="C32" s="2" t="s">
        <v>1</v>
      </c>
      <c r="D32" t="s">
        <v>56</v>
      </c>
      <c r="F32" t="s">
        <v>56</v>
      </c>
      <c r="H32" t="s">
        <v>56</v>
      </c>
      <c r="J32" t="s">
        <v>55</v>
      </c>
      <c r="L32" t="s">
        <v>56</v>
      </c>
      <c r="N32" t="s">
        <v>55</v>
      </c>
      <c r="P32" t="s">
        <v>55</v>
      </c>
      <c r="R32" t="s">
        <v>55</v>
      </c>
      <c r="T32" t="s">
        <v>55</v>
      </c>
      <c r="V32" t="s">
        <v>55</v>
      </c>
      <c r="X32" t="s">
        <v>55</v>
      </c>
      <c r="Z32" t="s">
        <v>55</v>
      </c>
      <c r="AB32" t="s">
        <v>56</v>
      </c>
      <c r="AD32" t="s">
        <v>56</v>
      </c>
      <c r="AF32" t="s">
        <v>55</v>
      </c>
      <c r="AH32" t="s">
        <v>56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3:44" x14ac:dyDescent="0.2">
      <c r="C33" s="2" t="s">
        <v>2</v>
      </c>
      <c r="D33" t="s">
        <v>55</v>
      </c>
      <c r="F33" t="s">
        <v>55</v>
      </c>
      <c r="H33" t="s">
        <v>55</v>
      </c>
      <c r="J33" t="s">
        <v>55</v>
      </c>
      <c r="L33" t="s">
        <v>55</v>
      </c>
      <c r="N33" t="s">
        <v>55</v>
      </c>
      <c r="P33" t="s">
        <v>56</v>
      </c>
      <c r="R33" t="s">
        <v>55</v>
      </c>
      <c r="T33" t="s">
        <v>55</v>
      </c>
      <c r="V33" t="s">
        <v>55</v>
      </c>
      <c r="X33" t="s">
        <v>55</v>
      </c>
      <c r="Z33" t="s">
        <v>55</v>
      </c>
      <c r="AB33" t="s">
        <v>55</v>
      </c>
      <c r="AD33" t="s">
        <v>55</v>
      </c>
      <c r="AF33" t="s">
        <v>55</v>
      </c>
      <c r="AH33" t="s">
        <v>55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3:44" x14ac:dyDescent="0.2">
      <c r="C34" s="2" t="s">
        <v>3</v>
      </c>
      <c r="D34" t="s">
        <v>55</v>
      </c>
      <c r="F34" t="s">
        <v>55</v>
      </c>
      <c r="H34" t="s">
        <v>55</v>
      </c>
      <c r="J34" t="s">
        <v>55</v>
      </c>
      <c r="L34" t="s">
        <v>55</v>
      </c>
      <c r="N34" t="s">
        <v>55</v>
      </c>
      <c r="P34" t="s">
        <v>55</v>
      </c>
      <c r="R34" t="s">
        <v>55</v>
      </c>
      <c r="T34" t="s">
        <v>56</v>
      </c>
      <c r="V34" t="s">
        <v>56</v>
      </c>
      <c r="X34" t="s">
        <v>56</v>
      </c>
      <c r="Z34" t="s">
        <v>55</v>
      </c>
      <c r="AB34" t="s">
        <v>55</v>
      </c>
      <c r="AD34" t="s">
        <v>56</v>
      </c>
      <c r="AF34" t="s">
        <v>55</v>
      </c>
      <c r="AH34" t="s">
        <v>56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3:44" x14ac:dyDescent="0.2">
      <c r="C35" s="2" t="s">
        <v>4</v>
      </c>
      <c r="D35" t="s">
        <v>55</v>
      </c>
      <c r="F35" t="s">
        <v>55</v>
      </c>
      <c r="H35" t="s">
        <v>55</v>
      </c>
      <c r="J35" t="s">
        <v>55</v>
      </c>
      <c r="L35" t="s">
        <v>56</v>
      </c>
      <c r="N35" t="s">
        <v>55</v>
      </c>
      <c r="P35" t="s">
        <v>55</v>
      </c>
      <c r="R35" t="s">
        <v>55</v>
      </c>
      <c r="T35" t="s">
        <v>55</v>
      </c>
      <c r="V35" t="s">
        <v>55</v>
      </c>
      <c r="X35" t="s">
        <v>55</v>
      </c>
      <c r="Z35" t="s">
        <v>55</v>
      </c>
      <c r="AB35" t="s">
        <v>55</v>
      </c>
      <c r="AD35" t="s">
        <v>55</v>
      </c>
      <c r="AF35" t="s">
        <v>55</v>
      </c>
      <c r="AH35" t="s">
        <v>55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3:44" x14ac:dyDescent="0.2">
      <c r="C36" s="2" t="s">
        <v>5</v>
      </c>
      <c r="D36" t="s">
        <v>55</v>
      </c>
      <c r="F36" t="s">
        <v>55</v>
      </c>
      <c r="H36" t="s">
        <v>55</v>
      </c>
      <c r="J36" t="s">
        <v>55</v>
      </c>
      <c r="L36" t="s">
        <v>55</v>
      </c>
      <c r="N36" t="s">
        <v>55</v>
      </c>
      <c r="P36" t="s">
        <v>55</v>
      </c>
      <c r="R36" t="s">
        <v>56</v>
      </c>
      <c r="T36" t="s">
        <v>56</v>
      </c>
      <c r="V36" t="s">
        <v>55</v>
      </c>
      <c r="X36" t="s">
        <v>55</v>
      </c>
      <c r="Z36" t="s">
        <v>55</v>
      </c>
      <c r="AB36" t="s">
        <v>55</v>
      </c>
      <c r="AD36" t="s">
        <v>55</v>
      </c>
      <c r="AF36" t="s">
        <v>56</v>
      </c>
      <c r="AH36" t="s">
        <v>55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3:44" x14ac:dyDescent="0.2">
      <c r="C37" s="2" t="s">
        <v>6</v>
      </c>
      <c r="D37" t="s">
        <v>56</v>
      </c>
      <c r="F37" t="s">
        <v>55</v>
      </c>
      <c r="H37" t="s">
        <v>56</v>
      </c>
      <c r="J37" t="s">
        <v>55</v>
      </c>
      <c r="L37" t="s">
        <v>56</v>
      </c>
      <c r="N37" t="s">
        <v>55</v>
      </c>
      <c r="P37" t="s">
        <v>55</v>
      </c>
      <c r="R37" t="s">
        <v>55</v>
      </c>
      <c r="T37" t="s">
        <v>56</v>
      </c>
      <c r="V37" t="s">
        <v>55</v>
      </c>
      <c r="X37" t="s">
        <v>55</v>
      </c>
      <c r="Z37" t="s">
        <v>56</v>
      </c>
      <c r="AB37" t="s">
        <v>56</v>
      </c>
      <c r="AD37" t="s">
        <v>55</v>
      </c>
      <c r="AF37" t="s">
        <v>55</v>
      </c>
      <c r="AH37" t="s">
        <v>55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3:44" x14ac:dyDescent="0.2">
      <c r="C38" s="2" t="s">
        <v>7</v>
      </c>
      <c r="D38" t="s">
        <v>55</v>
      </c>
      <c r="F38" t="s">
        <v>56</v>
      </c>
      <c r="H38" t="s">
        <v>56</v>
      </c>
      <c r="J38" t="s">
        <v>55</v>
      </c>
      <c r="L38" t="s">
        <v>55</v>
      </c>
      <c r="N38" t="s">
        <v>56</v>
      </c>
      <c r="P38" t="s">
        <v>56</v>
      </c>
      <c r="R38" t="s">
        <v>55</v>
      </c>
      <c r="T38" t="s">
        <v>55</v>
      </c>
      <c r="V38" t="s">
        <v>56</v>
      </c>
      <c r="X38" t="s">
        <v>56</v>
      </c>
      <c r="Z38" t="s">
        <v>55</v>
      </c>
      <c r="AB38" t="s">
        <v>55</v>
      </c>
      <c r="AD38" t="s">
        <v>55</v>
      </c>
      <c r="AF38" t="s">
        <v>55</v>
      </c>
      <c r="AH38" t="s">
        <v>55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3:44" x14ac:dyDescent="0.2">
      <c r="C39" s="2" t="s">
        <v>8</v>
      </c>
      <c r="D39" t="s">
        <v>56</v>
      </c>
      <c r="F39" t="s">
        <v>55</v>
      </c>
      <c r="H39" t="s">
        <v>55</v>
      </c>
      <c r="J39" t="s">
        <v>55</v>
      </c>
      <c r="L39" t="s">
        <v>56</v>
      </c>
      <c r="N39" t="s">
        <v>55</v>
      </c>
      <c r="P39" t="s">
        <v>55</v>
      </c>
      <c r="R39" t="s">
        <v>55</v>
      </c>
      <c r="T39" t="s">
        <v>55</v>
      </c>
      <c r="V39" t="s">
        <v>55</v>
      </c>
      <c r="X39" t="s">
        <v>55</v>
      </c>
      <c r="Z39" t="s">
        <v>55</v>
      </c>
      <c r="AB39" t="s">
        <v>56</v>
      </c>
      <c r="AD39" t="s">
        <v>55</v>
      </c>
      <c r="AF39" t="s">
        <v>55</v>
      </c>
      <c r="AH39" t="s">
        <v>56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3:44" x14ac:dyDescent="0.2">
      <c r="C40" s="2" t="s">
        <v>9</v>
      </c>
      <c r="D40" t="s">
        <v>55</v>
      </c>
      <c r="F40" t="s">
        <v>55</v>
      </c>
      <c r="H40" t="s">
        <v>55</v>
      </c>
      <c r="J40" t="s">
        <v>55</v>
      </c>
      <c r="L40" t="s">
        <v>55</v>
      </c>
      <c r="N40" t="s">
        <v>55</v>
      </c>
      <c r="P40" t="s">
        <v>55</v>
      </c>
      <c r="R40" t="s">
        <v>55</v>
      </c>
      <c r="T40" t="s">
        <v>55</v>
      </c>
      <c r="V40" t="s">
        <v>55</v>
      </c>
      <c r="X40" t="s">
        <v>55</v>
      </c>
      <c r="Z40" t="s">
        <v>55</v>
      </c>
      <c r="AB40" t="s">
        <v>55</v>
      </c>
      <c r="AD40" t="s">
        <v>55</v>
      </c>
      <c r="AF40" t="s">
        <v>55</v>
      </c>
      <c r="AH40" t="s">
        <v>55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3:44" x14ac:dyDescent="0.2">
      <c r="C41" s="2" t="s">
        <v>47</v>
      </c>
      <c r="D41" t="s">
        <v>55</v>
      </c>
      <c r="F41" t="s">
        <v>55</v>
      </c>
      <c r="H41" t="s">
        <v>55</v>
      </c>
      <c r="J41" t="s">
        <v>55</v>
      </c>
      <c r="L41" t="s">
        <v>55</v>
      </c>
      <c r="N41" t="s">
        <v>55</v>
      </c>
      <c r="P41" t="s">
        <v>55</v>
      </c>
      <c r="R41" t="s">
        <v>55</v>
      </c>
      <c r="T41" t="s">
        <v>55</v>
      </c>
      <c r="V41" t="s">
        <v>55</v>
      </c>
      <c r="X41" t="s">
        <v>55</v>
      </c>
      <c r="Z41" t="s">
        <v>55</v>
      </c>
      <c r="AB41" t="s">
        <v>55</v>
      </c>
      <c r="AD41" t="s">
        <v>55</v>
      </c>
      <c r="AF41" t="s">
        <v>55</v>
      </c>
      <c r="AH41" t="s">
        <v>55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3:44" x14ac:dyDescent="0.2">
      <c r="C42" s="2" t="s">
        <v>48</v>
      </c>
      <c r="D42" t="s">
        <v>55</v>
      </c>
      <c r="F42" t="s">
        <v>56</v>
      </c>
      <c r="H42" t="s">
        <v>56</v>
      </c>
      <c r="J42" t="s">
        <v>56</v>
      </c>
      <c r="L42" t="s">
        <v>55</v>
      </c>
      <c r="N42" t="s">
        <v>55</v>
      </c>
      <c r="P42" t="s">
        <v>55</v>
      </c>
      <c r="R42" t="s">
        <v>56</v>
      </c>
      <c r="T42" t="s">
        <v>55</v>
      </c>
      <c r="V42" t="s">
        <v>56</v>
      </c>
      <c r="X42" t="s">
        <v>56</v>
      </c>
      <c r="Z42" t="s">
        <v>55</v>
      </c>
      <c r="AB42" t="s">
        <v>55</v>
      </c>
      <c r="AD42" t="s">
        <v>56</v>
      </c>
      <c r="AF42" t="s">
        <v>56</v>
      </c>
      <c r="AH42" t="s">
        <v>56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3:44" x14ac:dyDescent="0.2">
      <c r="C43" s="2" t="s">
        <v>49</v>
      </c>
      <c r="D43" t="s">
        <v>55</v>
      </c>
      <c r="F43" t="s">
        <v>56</v>
      </c>
      <c r="H43" t="s">
        <v>56</v>
      </c>
      <c r="J43" t="s">
        <v>55</v>
      </c>
      <c r="L43" t="s">
        <v>55</v>
      </c>
      <c r="N43" t="s">
        <v>55</v>
      </c>
      <c r="P43" t="s">
        <v>55</v>
      </c>
      <c r="R43" t="s">
        <v>55</v>
      </c>
      <c r="T43" t="s">
        <v>55</v>
      </c>
      <c r="V43" t="s">
        <v>56</v>
      </c>
      <c r="X43" t="s">
        <v>56</v>
      </c>
      <c r="Z43" t="s">
        <v>55</v>
      </c>
      <c r="AB43" t="s">
        <v>55</v>
      </c>
      <c r="AD43" t="s">
        <v>56</v>
      </c>
      <c r="AF43" t="s">
        <v>56</v>
      </c>
      <c r="AH43" t="s">
        <v>56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3:44" x14ac:dyDescent="0.2">
      <c r="C44" s="2" t="s">
        <v>50</v>
      </c>
      <c r="D44" t="s">
        <v>55</v>
      </c>
      <c r="F44" t="s">
        <v>55</v>
      </c>
      <c r="H44" t="s">
        <v>55</v>
      </c>
      <c r="J44" t="s">
        <v>55</v>
      </c>
      <c r="L44" t="s">
        <v>55</v>
      </c>
      <c r="N44" t="s">
        <v>55</v>
      </c>
      <c r="P44" t="s">
        <v>55</v>
      </c>
      <c r="R44" t="s">
        <v>55</v>
      </c>
      <c r="T44" t="s">
        <v>55</v>
      </c>
      <c r="V44" t="s">
        <v>55</v>
      </c>
      <c r="X44" t="s">
        <v>55</v>
      </c>
      <c r="Z44" t="s">
        <v>55</v>
      </c>
      <c r="AB44" t="s">
        <v>55</v>
      </c>
      <c r="AD44" t="s">
        <v>55</v>
      </c>
      <c r="AF44" t="s">
        <v>55</v>
      </c>
      <c r="AH44" t="s">
        <v>55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3:44" x14ac:dyDescent="0.2">
      <c r="C45" s="2" t="s">
        <v>51</v>
      </c>
      <c r="D45" t="s">
        <v>55</v>
      </c>
      <c r="F45" t="s">
        <v>55</v>
      </c>
      <c r="H45" t="s">
        <v>55</v>
      </c>
      <c r="J45" t="s">
        <v>55</v>
      </c>
      <c r="L45" t="s">
        <v>55</v>
      </c>
      <c r="N45" t="s">
        <v>55</v>
      </c>
      <c r="P45" t="s">
        <v>55</v>
      </c>
      <c r="R45" t="s">
        <v>55</v>
      </c>
      <c r="T45" t="s">
        <v>55</v>
      </c>
      <c r="V45" t="s">
        <v>55</v>
      </c>
      <c r="X45" t="s">
        <v>55</v>
      </c>
      <c r="Z45" t="s">
        <v>55</v>
      </c>
      <c r="AB45" t="s">
        <v>55</v>
      </c>
      <c r="AD45" t="s">
        <v>55</v>
      </c>
      <c r="AF45" t="s">
        <v>55</v>
      </c>
      <c r="AH45" t="s">
        <v>55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3:44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3:44" x14ac:dyDescent="0.2">
      <c r="C47" s="2" t="s">
        <v>44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3:44" x14ac:dyDescent="0.2">
      <c r="C48" s="2" t="s">
        <v>53</v>
      </c>
      <c r="D48" s="2">
        <f>COUNTIF(D31:AH45,"plain")</f>
        <v>49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3:44" x14ac:dyDescent="0.2">
      <c r="C49" s="2" t="s">
        <v>52</v>
      </c>
      <c r="D49" s="2">
        <f>COUNTIF(D31:AH45,"informative")</f>
        <v>191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3:44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3:4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3:44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3:44" x14ac:dyDescent="0.2">
      <c r="C53" s="2"/>
      <c r="D53" s="2" t="s">
        <v>53</v>
      </c>
      <c r="E53" s="2" t="s">
        <v>52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3:44" x14ac:dyDescent="0.2">
      <c r="C54" s="2" t="s">
        <v>45</v>
      </c>
      <c r="D54" s="2">
        <f>(D24/240)*100</f>
        <v>35</v>
      </c>
      <c r="E54" s="2">
        <f>(D25/240)*100</f>
        <v>65</v>
      </c>
    </row>
    <row r="55" spans="3:44" x14ac:dyDescent="0.2">
      <c r="C55" s="2" t="s">
        <v>46</v>
      </c>
      <c r="D55" s="2">
        <f>(D48/240)*100</f>
        <v>20.416666666666668</v>
      </c>
      <c r="E55" s="2">
        <f>(D49/240)*100</f>
        <v>79.583333333333329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39D-4172-D14C-A17F-AE2A5CFEDF8A}">
  <dimension ref="C4:AN54"/>
  <sheetViews>
    <sheetView tabSelected="1" workbookViewId="0">
      <selection activeCell="E45" sqref="E45"/>
    </sheetView>
  </sheetViews>
  <sheetFormatPr baseColWidth="10" defaultRowHeight="16" x14ac:dyDescent="0.2"/>
  <sheetData>
    <row r="4" spans="3:40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3:40" x14ac:dyDescent="0.2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3:40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 t="s">
        <v>24</v>
      </c>
      <c r="AC6" s="2"/>
      <c r="AD6" s="2" t="s">
        <v>25</v>
      </c>
      <c r="AE6" s="2"/>
      <c r="AF6" s="2" t="s">
        <v>26</v>
      </c>
      <c r="AG6" s="2"/>
      <c r="AH6" s="2" t="s">
        <v>27</v>
      </c>
      <c r="AI6" s="2"/>
      <c r="AJ6" s="2"/>
      <c r="AK6" s="2"/>
      <c r="AL6" s="2"/>
      <c r="AM6" s="2"/>
      <c r="AN6" s="2"/>
    </row>
    <row r="7" spans="3:40" x14ac:dyDescent="0.2">
      <c r="C7" s="2" t="s">
        <v>0</v>
      </c>
      <c r="D7" t="s">
        <v>55</v>
      </c>
      <c r="F7" t="s">
        <v>56</v>
      </c>
      <c r="H7" t="s">
        <v>56</v>
      </c>
      <c r="J7" t="s">
        <v>55</v>
      </c>
      <c r="L7" t="s">
        <v>56</v>
      </c>
      <c r="N7" t="s">
        <v>55</v>
      </c>
      <c r="P7" t="s">
        <v>56</v>
      </c>
      <c r="R7" t="s">
        <v>55</v>
      </c>
      <c r="T7" t="s">
        <v>55</v>
      </c>
      <c r="V7" t="s">
        <v>56</v>
      </c>
      <c r="X7" t="s">
        <v>55</v>
      </c>
      <c r="Z7" t="s">
        <v>55</v>
      </c>
      <c r="AB7" t="s">
        <v>55</v>
      </c>
      <c r="AD7" t="s">
        <v>55</v>
      </c>
      <c r="AF7" t="s">
        <v>55</v>
      </c>
      <c r="AH7" t="s">
        <v>55</v>
      </c>
      <c r="AI7" s="2"/>
      <c r="AJ7" s="2"/>
      <c r="AK7" s="2"/>
      <c r="AL7" s="2"/>
      <c r="AM7" s="2"/>
      <c r="AN7" s="2"/>
    </row>
    <row r="8" spans="3:40" x14ac:dyDescent="0.2">
      <c r="C8" s="2" t="s">
        <v>1</v>
      </c>
      <c r="D8" t="s">
        <v>56</v>
      </c>
      <c r="F8" t="s">
        <v>56</v>
      </c>
      <c r="H8" t="s">
        <v>56</v>
      </c>
      <c r="J8" t="s">
        <v>56</v>
      </c>
      <c r="L8" t="s">
        <v>56</v>
      </c>
      <c r="N8" t="s">
        <v>56</v>
      </c>
      <c r="P8" t="s">
        <v>56</v>
      </c>
      <c r="R8" t="s">
        <v>55</v>
      </c>
      <c r="T8" t="s">
        <v>55</v>
      </c>
      <c r="V8" t="s">
        <v>56</v>
      </c>
      <c r="X8" t="s">
        <v>55</v>
      </c>
      <c r="Z8" t="s">
        <v>56</v>
      </c>
      <c r="AB8" t="s">
        <v>56</v>
      </c>
      <c r="AD8" t="s">
        <v>56</v>
      </c>
      <c r="AF8" t="s">
        <v>56</v>
      </c>
      <c r="AH8" t="s">
        <v>56</v>
      </c>
      <c r="AI8" s="2"/>
      <c r="AJ8" s="2"/>
      <c r="AK8" s="2"/>
      <c r="AL8" s="2"/>
      <c r="AM8" s="2"/>
      <c r="AN8" s="2"/>
    </row>
    <row r="9" spans="3:40" x14ac:dyDescent="0.2">
      <c r="C9" s="2" t="s">
        <v>2</v>
      </c>
      <c r="D9" t="s">
        <v>56</v>
      </c>
      <c r="F9" t="s">
        <v>56</v>
      </c>
      <c r="H9" t="s">
        <v>56</v>
      </c>
      <c r="J9" t="s">
        <v>55</v>
      </c>
      <c r="L9" t="s">
        <v>55</v>
      </c>
      <c r="N9" t="s">
        <v>56</v>
      </c>
      <c r="P9" t="s">
        <v>56</v>
      </c>
      <c r="R9" t="s">
        <v>55</v>
      </c>
      <c r="T9" t="s">
        <v>55</v>
      </c>
      <c r="V9" t="s">
        <v>56</v>
      </c>
      <c r="X9" t="s">
        <v>55</v>
      </c>
      <c r="Z9" t="s">
        <v>55</v>
      </c>
      <c r="AB9" t="s">
        <v>56</v>
      </c>
      <c r="AD9" t="s">
        <v>56</v>
      </c>
      <c r="AF9" t="s">
        <v>56</v>
      </c>
      <c r="AH9" t="s">
        <v>56</v>
      </c>
      <c r="AI9" s="2"/>
      <c r="AJ9" s="2"/>
      <c r="AK9" s="2"/>
      <c r="AL9" s="2"/>
      <c r="AM9" s="2"/>
      <c r="AN9" s="2"/>
    </row>
    <row r="10" spans="3:40" x14ac:dyDescent="0.2">
      <c r="C10" s="2" t="s">
        <v>3</v>
      </c>
      <c r="D10" t="s">
        <v>55</v>
      </c>
      <c r="F10" t="s">
        <v>55</v>
      </c>
      <c r="H10" t="s">
        <v>56</v>
      </c>
      <c r="J10" t="s">
        <v>55</v>
      </c>
      <c r="L10" t="s">
        <v>55</v>
      </c>
      <c r="N10" t="s">
        <v>55</v>
      </c>
      <c r="P10" t="s">
        <v>55</v>
      </c>
      <c r="R10" t="s">
        <v>56</v>
      </c>
      <c r="T10" t="s">
        <v>56</v>
      </c>
      <c r="V10" t="s">
        <v>56</v>
      </c>
      <c r="X10" t="s">
        <v>56</v>
      </c>
      <c r="Z10" t="s">
        <v>55</v>
      </c>
      <c r="AB10" t="s">
        <v>55</v>
      </c>
      <c r="AD10" t="s">
        <v>55</v>
      </c>
      <c r="AF10" t="s">
        <v>56</v>
      </c>
      <c r="AH10" t="s">
        <v>55</v>
      </c>
      <c r="AI10" s="2"/>
      <c r="AJ10" s="2"/>
      <c r="AK10" s="2"/>
      <c r="AL10" s="2"/>
      <c r="AM10" s="2"/>
      <c r="AN10" s="2"/>
    </row>
    <row r="11" spans="3:40" x14ac:dyDescent="0.2">
      <c r="C11" s="2" t="s">
        <v>4</v>
      </c>
      <c r="D11" t="s">
        <v>55</v>
      </c>
      <c r="F11" t="s">
        <v>55</v>
      </c>
      <c r="H11" t="s">
        <v>55</v>
      </c>
      <c r="J11" t="s">
        <v>55</v>
      </c>
      <c r="L11" t="s">
        <v>55</v>
      </c>
      <c r="N11" t="s">
        <v>55</v>
      </c>
      <c r="P11" t="s">
        <v>55</v>
      </c>
      <c r="R11" t="s">
        <v>55</v>
      </c>
      <c r="T11" t="s">
        <v>55</v>
      </c>
      <c r="V11" t="s">
        <v>55</v>
      </c>
      <c r="X11" t="s">
        <v>55</v>
      </c>
      <c r="Z11" t="s">
        <v>55</v>
      </c>
      <c r="AB11" t="s">
        <v>55</v>
      </c>
      <c r="AD11" t="s">
        <v>55</v>
      </c>
      <c r="AF11" t="s">
        <v>55</v>
      </c>
      <c r="AH11" t="s">
        <v>55</v>
      </c>
      <c r="AI11" s="2"/>
      <c r="AJ11" s="2"/>
      <c r="AK11" s="2"/>
      <c r="AL11" s="2"/>
      <c r="AM11" s="2"/>
      <c r="AN11" s="2"/>
    </row>
    <row r="12" spans="3:40" x14ac:dyDescent="0.2">
      <c r="C12" s="2" t="s">
        <v>5</v>
      </c>
      <c r="D12" t="s">
        <v>55</v>
      </c>
      <c r="F12" t="s">
        <v>55</v>
      </c>
      <c r="H12" t="s">
        <v>55</v>
      </c>
      <c r="J12" t="s">
        <v>56</v>
      </c>
      <c r="L12" t="s">
        <v>55</v>
      </c>
      <c r="N12" t="s">
        <v>56</v>
      </c>
      <c r="P12" t="s">
        <v>55</v>
      </c>
      <c r="R12" t="s">
        <v>56</v>
      </c>
      <c r="T12" t="s">
        <v>55</v>
      </c>
      <c r="V12" t="s">
        <v>55</v>
      </c>
      <c r="X12" t="s">
        <v>56</v>
      </c>
      <c r="Z12" t="s">
        <v>56</v>
      </c>
      <c r="AB12" t="s">
        <v>56</v>
      </c>
      <c r="AD12" t="s">
        <v>56</v>
      </c>
      <c r="AF12" t="s">
        <v>56</v>
      </c>
      <c r="AH12" t="s">
        <v>56</v>
      </c>
      <c r="AI12" s="2"/>
      <c r="AJ12" s="2"/>
      <c r="AK12" s="2"/>
      <c r="AL12" s="2"/>
      <c r="AM12" s="2"/>
      <c r="AN12" s="2"/>
    </row>
    <row r="13" spans="3:40" x14ac:dyDescent="0.2">
      <c r="C13" s="2" t="s">
        <v>6</v>
      </c>
      <c r="D13" t="s">
        <v>55</v>
      </c>
      <c r="F13" t="s">
        <v>55</v>
      </c>
      <c r="H13" t="s">
        <v>55</v>
      </c>
      <c r="J13" t="s">
        <v>55</v>
      </c>
      <c r="L13" t="s">
        <v>56</v>
      </c>
      <c r="N13" t="s">
        <v>55</v>
      </c>
      <c r="P13" t="s">
        <v>55</v>
      </c>
      <c r="R13" t="s">
        <v>56</v>
      </c>
      <c r="T13" t="s">
        <v>55</v>
      </c>
      <c r="V13" t="s">
        <v>55</v>
      </c>
      <c r="X13" t="s">
        <v>56</v>
      </c>
      <c r="Z13" t="s">
        <v>55</v>
      </c>
      <c r="AB13" t="s">
        <v>55</v>
      </c>
      <c r="AD13" t="s">
        <v>56</v>
      </c>
      <c r="AF13" t="s">
        <v>56</v>
      </c>
      <c r="AH13" t="s">
        <v>55</v>
      </c>
      <c r="AI13" s="2"/>
      <c r="AJ13" s="2"/>
      <c r="AK13" s="2"/>
      <c r="AL13" s="2"/>
      <c r="AM13" s="2"/>
      <c r="AN13" s="2"/>
    </row>
    <row r="14" spans="3:40" x14ac:dyDescent="0.2">
      <c r="C14" s="2" t="s">
        <v>7</v>
      </c>
      <c r="D14" t="s">
        <v>55</v>
      </c>
      <c r="F14" t="s">
        <v>55</v>
      </c>
      <c r="H14" t="s">
        <v>55</v>
      </c>
      <c r="J14" t="s">
        <v>55</v>
      </c>
      <c r="L14" t="s">
        <v>55</v>
      </c>
      <c r="N14" t="s">
        <v>55</v>
      </c>
      <c r="P14" t="s">
        <v>55</v>
      </c>
      <c r="R14" t="s">
        <v>55</v>
      </c>
      <c r="T14" t="s">
        <v>55</v>
      </c>
      <c r="V14" t="s">
        <v>55</v>
      </c>
      <c r="X14" t="s">
        <v>55</v>
      </c>
      <c r="Z14" t="s">
        <v>55</v>
      </c>
      <c r="AB14" t="s">
        <v>55</v>
      </c>
      <c r="AD14" t="s">
        <v>55</v>
      </c>
      <c r="AF14" t="s">
        <v>55</v>
      </c>
      <c r="AH14" t="s">
        <v>55</v>
      </c>
      <c r="AI14" s="2"/>
      <c r="AJ14" s="2"/>
      <c r="AK14" s="2"/>
      <c r="AL14" s="2"/>
      <c r="AM14" s="2"/>
      <c r="AN14" s="2"/>
    </row>
    <row r="15" spans="3:40" x14ac:dyDescent="0.2">
      <c r="C15" s="2" t="s">
        <v>8</v>
      </c>
      <c r="D15" t="s">
        <v>55</v>
      </c>
      <c r="F15" t="s">
        <v>55</v>
      </c>
      <c r="H15" t="s">
        <v>55</v>
      </c>
      <c r="J15" t="s">
        <v>55</v>
      </c>
      <c r="L15" t="s">
        <v>55</v>
      </c>
      <c r="N15" t="s">
        <v>55</v>
      </c>
      <c r="P15" t="s">
        <v>55</v>
      </c>
      <c r="R15" t="s">
        <v>55</v>
      </c>
      <c r="T15" t="s">
        <v>55</v>
      </c>
      <c r="V15" t="s">
        <v>56</v>
      </c>
      <c r="X15" t="s">
        <v>55</v>
      </c>
      <c r="Z15" t="s">
        <v>55</v>
      </c>
      <c r="AB15" t="s">
        <v>56</v>
      </c>
      <c r="AD15" t="s">
        <v>55</v>
      </c>
      <c r="AF15" t="s">
        <v>55</v>
      </c>
      <c r="AH15" t="s">
        <v>55</v>
      </c>
      <c r="AI15" s="2"/>
      <c r="AJ15" s="2"/>
      <c r="AK15" s="2"/>
      <c r="AL15" s="2"/>
      <c r="AM15" s="2"/>
      <c r="AN15" s="2"/>
    </row>
    <row r="16" spans="3:40" x14ac:dyDescent="0.2">
      <c r="C16" s="2" t="s">
        <v>9</v>
      </c>
      <c r="D16" t="s">
        <v>55</v>
      </c>
      <c r="F16" t="s">
        <v>55</v>
      </c>
      <c r="H16" t="s">
        <v>55</v>
      </c>
      <c r="J16" t="s">
        <v>55</v>
      </c>
      <c r="L16" t="s">
        <v>55</v>
      </c>
      <c r="N16" t="s">
        <v>55</v>
      </c>
      <c r="P16" t="s">
        <v>55</v>
      </c>
      <c r="R16" t="s">
        <v>55</v>
      </c>
      <c r="T16" t="s">
        <v>55</v>
      </c>
      <c r="V16" t="s">
        <v>55</v>
      </c>
      <c r="X16" t="s">
        <v>55</v>
      </c>
      <c r="Z16" t="s">
        <v>55</v>
      </c>
      <c r="AB16" t="s">
        <v>55</v>
      </c>
      <c r="AD16" t="s">
        <v>55</v>
      </c>
      <c r="AF16" t="s">
        <v>55</v>
      </c>
      <c r="AH16" t="s">
        <v>55</v>
      </c>
      <c r="AI16" s="2"/>
      <c r="AJ16" s="2"/>
      <c r="AK16" s="2"/>
      <c r="AL16" s="2"/>
      <c r="AM16" s="2"/>
      <c r="AN16" s="2"/>
    </row>
    <row r="17" spans="3:40" x14ac:dyDescent="0.2">
      <c r="C17" s="2" t="s">
        <v>47</v>
      </c>
      <c r="D17" t="s">
        <v>55</v>
      </c>
      <c r="F17" t="s">
        <v>55</v>
      </c>
      <c r="H17" t="s">
        <v>55</v>
      </c>
      <c r="J17" t="s">
        <v>55</v>
      </c>
      <c r="L17" t="s">
        <v>55</v>
      </c>
      <c r="N17" t="s">
        <v>55</v>
      </c>
      <c r="P17" t="s">
        <v>55</v>
      </c>
      <c r="R17" t="s">
        <v>55</v>
      </c>
      <c r="T17" t="s">
        <v>55</v>
      </c>
      <c r="V17" t="s">
        <v>55</v>
      </c>
      <c r="X17" t="s">
        <v>55</v>
      </c>
      <c r="Z17" t="s">
        <v>55</v>
      </c>
      <c r="AB17" t="s">
        <v>55</v>
      </c>
      <c r="AD17" t="s">
        <v>55</v>
      </c>
      <c r="AF17" t="s">
        <v>55</v>
      </c>
      <c r="AH17" t="s">
        <v>55</v>
      </c>
      <c r="AI17" s="2"/>
      <c r="AJ17" s="2"/>
      <c r="AK17" s="2"/>
      <c r="AL17" s="2"/>
      <c r="AM17" s="2"/>
      <c r="AN17" s="2"/>
    </row>
    <row r="18" spans="3:40" x14ac:dyDescent="0.2">
      <c r="C18" s="2" t="s">
        <v>48</v>
      </c>
      <c r="D18" t="s">
        <v>55</v>
      </c>
      <c r="F18" t="s">
        <v>55</v>
      </c>
      <c r="H18" t="s">
        <v>55</v>
      </c>
      <c r="J18" t="s">
        <v>55</v>
      </c>
      <c r="L18" t="s">
        <v>55</v>
      </c>
      <c r="N18" t="s">
        <v>55</v>
      </c>
      <c r="P18" t="s">
        <v>55</v>
      </c>
      <c r="R18" t="s">
        <v>55</v>
      </c>
      <c r="T18" t="s">
        <v>55</v>
      </c>
      <c r="V18" t="s">
        <v>55</v>
      </c>
      <c r="X18" t="s">
        <v>56</v>
      </c>
      <c r="Z18" t="s">
        <v>55</v>
      </c>
      <c r="AB18" t="s">
        <v>55</v>
      </c>
      <c r="AD18" t="s">
        <v>55</v>
      </c>
      <c r="AF18" t="s">
        <v>55</v>
      </c>
      <c r="AH18" t="s">
        <v>55</v>
      </c>
      <c r="AI18" s="2"/>
      <c r="AJ18" s="2"/>
      <c r="AK18" s="2"/>
      <c r="AL18" s="2"/>
      <c r="AM18" s="2"/>
      <c r="AN18" s="2"/>
    </row>
    <row r="19" spans="3:40" x14ac:dyDescent="0.2">
      <c r="C19" s="2" t="s">
        <v>49</v>
      </c>
      <c r="D19" t="s">
        <v>55</v>
      </c>
      <c r="F19" t="s">
        <v>55</v>
      </c>
      <c r="H19" t="s">
        <v>55</v>
      </c>
      <c r="J19" t="s">
        <v>55</v>
      </c>
      <c r="L19" t="s">
        <v>55</v>
      </c>
      <c r="N19" t="s">
        <v>55</v>
      </c>
      <c r="P19" t="s">
        <v>55</v>
      </c>
      <c r="R19" t="s">
        <v>55</v>
      </c>
      <c r="T19" t="s">
        <v>55</v>
      </c>
      <c r="V19" t="s">
        <v>55</v>
      </c>
      <c r="X19" t="s">
        <v>55</v>
      </c>
      <c r="Z19" t="s">
        <v>55</v>
      </c>
      <c r="AB19" t="s">
        <v>55</v>
      </c>
      <c r="AD19" t="s">
        <v>55</v>
      </c>
      <c r="AF19" t="s">
        <v>55</v>
      </c>
      <c r="AH19" t="s">
        <v>55</v>
      </c>
      <c r="AI19" s="2"/>
      <c r="AJ19" s="2"/>
      <c r="AK19" s="2"/>
      <c r="AL19" s="2"/>
      <c r="AM19" s="2"/>
      <c r="AN19" s="2"/>
    </row>
    <row r="20" spans="3:40" x14ac:dyDescent="0.2">
      <c r="C20" s="2" t="s">
        <v>50</v>
      </c>
      <c r="D20" t="s">
        <v>55</v>
      </c>
      <c r="F20" t="s">
        <v>56</v>
      </c>
      <c r="H20" t="s">
        <v>55</v>
      </c>
      <c r="J20" t="s">
        <v>56</v>
      </c>
      <c r="L20" t="s">
        <v>55</v>
      </c>
      <c r="N20" t="s">
        <v>55</v>
      </c>
      <c r="P20" t="s">
        <v>56</v>
      </c>
      <c r="R20" t="s">
        <v>56</v>
      </c>
      <c r="T20" t="s">
        <v>56</v>
      </c>
      <c r="V20" t="s">
        <v>56</v>
      </c>
      <c r="X20" t="s">
        <v>56</v>
      </c>
      <c r="Z20" t="s">
        <v>55</v>
      </c>
      <c r="AB20" t="s">
        <v>55</v>
      </c>
      <c r="AD20" t="s">
        <v>55</v>
      </c>
      <c r="AF20" t="s">
        <v>55</v>
      </c>
      <c r="AH20" t="s">
        <v>55</v>
      </c>
      <c r="AI20" s="2"/>
      <c r="AJ20" s="2"/>
      <c r="AK20" s="2"/>
      <c r="AL20" s="2"/>
      <c r="AM20" s="2"/>
      <c r="AN20" s="2"/>
    </row>
    <row r="21" spans="3:40" x14ac:dyDescent="0.2">
      <c r="C21" s="2" t="s">
        <v>51</v>
      </c>
      <c r="D21" t="s">
        <v>55</v>
      </c>
      <c r="F21" t="s">
        <v>56</v>
      </c>
      <c r="H21" t="s">
        <v>56</v>
      </c>
      <c r="J21" t="s">
        <v>56</v>
      </c>
      <c r="L21" t="s">
        <v>55</v>
      </c>
      <c r="N21" t="s">
        <v>55</v>
      </c>
      <c r="P21" t="s">
        <v>56</v>
      </c>
      <c r="R21" t="s">
        <v>56</v>
      </c>
      <c r="T21" t="s">
        <v>55</v>
      </c>
      <c r="V21" t="s">
        <v>55</v>
      </c>
      <c r="X21" t="s">
        <v>55</v>
      </c>
      <c r="Z21" t="s">
        <v>55</v>
      </c>
      <c r="AB21" t="s">
        <v>55</v>
      </c>
      <c r="AD21" t="s">
        <v>55</v>
      </c>
      <c r="AF21" t="s">
        <v>56</v>
      </c>
      <c r="AH21" t="s">
        <v>56</v>
      </c>
      <c r="AI21" s="2"/>
      <c r="AJ21" s="2"/>
      <c r="AK21" s="2"/>
      <c r="AL21" s="2"/>
      <c r="AM21" s="2"/>
      <c r="AN21" s="2"/>
    </row>
    <row r="22" spans="3:40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3:40" x14ac:dyDescent="0.2">
      <c r="C23" s="2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3:40" x14ac:dyDescent="0.2">
      <c r="C24" s="2" t="s">
        <v>53</v>
      </c>
      <c r="D24" s="2">
        <f>COUNTIF(D7:AH21,"plain")</f>
        <v>65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3:40" x14ac:dyDescent="0.2">
      <c r="C25" s="2" t="s">
        <v>52</v>
      </c>
      <c r="D25" s="2">
        <f>COUNTIF(D7:AH21,"informative")</f>
        <v>175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3:40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3:40" x14ac:dyDescent="0.2">
      <c r="C27" s="1" t="s">
        <v>11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3:40" x14ac:dyDescent="0.2"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3:40" x14ac:dyDescent="0.2">
      <c r="C29" s="2"/>
      <c r="D29" s="2" t="s">
        <v>28</v>
      </c>
      <c r="E29" s="2"/>
      <c r="F29" s="2" t="s">
        <v>29</v>
      </c>
      <c r="G29" s="2"/>
      <c r="H29" s="2" t="s">
        <v>30</v>
      </c>
      <c r="I29" s="2"/>
      <c r="J29" s="2" t="s">
        <v>31</v>
      </c>
      <c r="K29" s="2"/>
      <c r="L29" s="2" t="s">
        <v>32</v>
      </c>
      <c r="M29" s="2"/>
      <c r="N29" s="2" t="s">
        <v>33</v>
      </c>
      <c r="O29" s="2"/>
      <c r="P29" s="2" t="s">
        <v>34</v>
      </c>
      <c r="Q29" s="2"/>
      <c r="R29" s="2" t="s">
        <v>35</v>
      </c>
      <c r="S29" s="2"/>
      <c r="T29" s="2" t="s">
        <v>36</v>
      </c>
      <c r="U29" s="2"/>
      <c r="V29" s="2" t="s">
        <v>37</v>
      </c>
      <c r="W29" s="2"/>
      <c r="X29" s="2" t="s">
        <v>38</v>
      </c>
      <c r="Y29" s="2"/>
      <c r="Z29" s="2" t="s">
        <v>39</v>
      </c>
      <c r="AA29" s="2"/>
      <c r="AB29" s="2" t="s">
        <v>40</v>
      </c>
      <c r="AC29" s="2"/>
      <c r="AD29" s="2" t="s">
        <v>41</v>
      </c>
      <c r="AE29" s="2"/>
      <c r="AF29" s="2" t="s">
        <v>42</v>
      </c>
      <c r="AG29" s="2"/>
      <c r="AH29" s="2" t="s">
        <v>43</v>
      </c>
      <c r="AI29" s="2"/>
      <c r="AJ29" s="2"/>
      <c r="AK29" s="2"/>
      <c r="AL29" s="2"/>
      <c r="AM29" s="2"/>
      <c r="AN29" s="2"/>
    </row>
    <row r="30" spans="3:40" x14ac:dyDescent="0.2">
      <c r="C30" s="2" t="s">
        <v>0</v>
      </c>
      <c r="D30" t="s">
        <v>56</v>
      </c>
      <c r="F30" t="s">
        <v>55</v>
      </c>
      <c r="H30" t="s">
        <v>55</v>
      </c>
      <c r="J30" t="s">
        <v>55</v>
      </c>
      <c r="L30" t="s">
        <v>55</v>
      </c>
      <c r="N30" t="s">
        <v>55</v>
      </c>
      <c r="P30" t="s">
        <v>55</v>
      </c>
      <c r="R30" t="s">
        <v>55</v>
      </c>
      <c r="T30" t="s">
        <v>55</v>
      </c>
      <c r="V30" t="s">
        <v>55</v>
      </c>
      <c r="X30" t="s">
        <v>55</v>
      </c>
      <c r="Z30" t="s">
        <v>55</v>
      </c>
      <c r="AB30" t="s">
        <v>55</v>
      </c>
      <c r="AD30" t="s">
        <v>55</v>
      </c>
      <c r="AF30" t="s">
        <v>55</v>
      </c>
      <c r="AH30" t="s">
        <v>55</v>
      </c>
      <c r="AI30" s="2"/>
      <c r="AJ30" s="2"/>
      <c r="AK30" s="2"/>
      <c r="AL30" s="2"/>
      <c r="AM30" s="2"/>
      <c r="AN30" s="2"/>
    </row>
    <row r="31" spans="3:40" x14ac:dyDescent="0.2">
      <c r="C31" s="2" t="s">
        <v>1</v>
      </c>
      <c r="D31" t="s">
        <v>55</v>
      </c>
      <c r="F31" t="s">
        <v>55</v>
      </c>
      <c r="H31" t="s">
        <v>55</v>
      </c>
      <c r="J31" t="s">
        <v>55</v>
      </c>
      <c r="L31" t="s">
        <v>55</v>
      </c>
      <c r="N31" t="s">
        <v>55</v>
      </c>
      <c r="P31" t="s">
        <v>55</v>
      </c>
      <c r="R31" t="s">
        <v>55</v>
      </c>
      <c r="T31" t="s">
        <v>55</v>
      </c>
      <c r="V31" t="s">
        <v>55</v>
      </c>
      <c r="X31" t="s">
        <v>55</v>
      </c>
      <c r="Z31" t="s">
        <v>55</v>
      </c>
      <c r="AB31" t="s">
        <v>55</v>
      </c>
      <c r="AD31" t="s">
        <v>55</v>
      </c>
      <c r="AF31" t="s">
        <v>55</v>
      </c>
      <c r="AH31" t="s">
        <v>55</v>
      </c>
      <c r="AI31" s="2"/>
      <c r="AJ31" s="2"/>
      <c r="AK31" s="2"/>
      <c r="AL31" s="2"/>
      <c r="AM31" s="2"/>
      <c r="AN31" s="2"/>
    </row>
    <row r="32" spans="3:40" x14ac:dyDescent="0.2">
      <c r="C32" s="2" t="s">
        <v>2</v>
      </c>
      <c r="D32" t="s">
        <v>55</v>
      </c>
      <c r="F32" t="s">
        <v>55</v>
      </c>
      <c r="H32" t="s">
        <v>55</v>
      </c>
      <c r="J32" t="s">
        <v>55</v>
      </c>
      <c r="L32" t="s">
        <v>56</v>
      </c>
      <c r="N32" t="s">
        <v>55</v>
      </c>
      <c r="P32" t="s">
        <v>55</v>
      </c>
      <c r="R32" t="s">
        <v>55</v>
      </c>
      <c r="T32" t="s">
        <v>56</v>
      </c>
      <c r="V32" t="s">
        <v>56</v>
      </c>
      <c r="X32" t="s">
        <v>56</v>
      </c>
      <c r="Z32" t="s">
        <v>55</v>
      </c>
      <c r="AB32" t="s">
        <v>56</v>
      </c>
      <c r="AD32" t="s">
        <v>56</v>
      </c>
      <c r="AF32" t="s">
        <v>56</v>
      </c>
      <c r="AH32" t="s">
        <v>56</v>
      </c>
      <c r="AI32" s="2"/>
      <c r="AJ32" s="2"/>
      <c r="AK32" s="2"/>
      <c r="AL32" s="2"/>
      <c r="AM32" s="2"/>
      <c r="AN32" s="2"/>
    </row>
    <row r="33" spans="3:40" x14ac:dyDescent="0.2">
      <c r="C33" s="2" t="s">
        <v>3</v>
      </c>
      <c r="D33" t="s">
        <v>56</v>
      </c>
      <c r="F33" t="s">
        <v>56</v>
      </c>
      <c r="H33" t="s">
        <v>55</v>
      </c>
      <c r="J33" t="s">
        <v>55</v>
      </c>
      <c r="L33" t="s">
        <v>55</v>
      </c>
      <c r="N33" t="s">
        <v>55</v>
      </c>
      <c r="P33" t="s">
        <v>55</v>
      </c>
      <c r="R33" t="s">
        <v>55</v>
      </c>
      <c r="T33" t="s">
        <v>55</v>
      </c>
      <c r="V33" t="s">
        <v>56</v>
      </c>
      <c r="X33" t="s">
        <v>55</v>
      </c>
      <c r="Z33" t="s">
        <v>55</v>
      </c>
      <c r="AB33" t="s">
        <v>55</v>
      </c>
      <c r="AD33" t="s">
        <v>55</v>
      </c>
      <c r="AF33" t="s">
        <v>55</v>
      </c>
      <c r="AH33" t="s">
        <v>55</v>
      </c>
      <c r="AI33" s="2"/>
      <c r="AJ33" s="2"/>
      <c r="AK33" s="2"/>
      <c r="AL33" s="2"/>
      <c r="AM33" s="2"/>
      <c r="AN33" s="2"/>
    </row>
    <row r="34" spans="3:40" x14ac:dyDescent="0.2">
      <c r="C34" s="2" t="s">
        <v>4</v>
      </c>
      <c r="D34" t="s">
        <v>55</v>
      </c>
      <c r="F34" t="s">
        <v>55</v>
      </c>
      <c r="H34" t="s">
        <v>55</v>
      </c>
      <c r="J34" t="s">
        <v>55</v>
      </c>
      <c r="L34" t="s">
        <v>55</v>
      </c>
      <c r="N34" t="s">
        <v>55</v>
      </c>
      <c r="P34" t="s">
        <v>55</v>
      </c>
      <c r="R34" t="s">
        <v>55</v>
      </c>
      <c r="T34" t="s">
        <v>55</v>
      </c>
      <c r="V34" t="s">
        <v>55</v>
      </c>
      <c r="X34" t="s">
        <v>55</v>
      </c>
      <c r="Z34" t="s">
        <v>55</v>
      </c>
      <c r="AB34" t="s">
        <v>55</v>
      </c>
      <c r="AD34" t="s">
        <v>55</v>
      </c>
      <c r="AF34" t="s">
        <v>55</v>
      </c>
      <c r="AH34" t="s">
        <v>55</v>
      </c>
      <c r="AI34" s="2"/>
      <c r="AJ34" s="2"/>
      <c r="AK34" s="2"/>
      <c r="AL34" s="2"/>
      <c r="AM34" s="2"/>
      <c r="AN34" s="2"/>
    </row>
    <row r="35" spans="3:40" x14ac:dyDescent="0.2">
      <c r="C35" s="2" t="s">
        <v>5</v>
      </c>
      <c r="D35" t="s">
        <v>56</v>
      </c>
      <c r="F35" t="s">
        <v>56</v>
      </c>
      <c r="H35" t="s">
        <v>55</v>
      </c>
      <c r="J35" t="s">
        <v>55</v>
      </c>
      <c r="L35" t="s">
        <v>55</v>
      </c>
      <c r="N35" t="s">
        <v>56</v>
      </c>
      <c r="P35" t="s">
        <v>56</v>
      </c>
      <c r="R35" t="s">
        <v>55</v>
      </c>
      <c r="T35" t="s">
        <v>56</v>
      </c>
      <c r="V35" t="s">
        <v>55</v>
      </c>
      <c r="X35" t="s">
        <v>55</v>
      </c>
      <c r="Z35" t="s">
        <v>55</v>
      </c>
      <c r="AB35" t="s">
        <v>55</v>
      </c>
      <c r="AD35" t="s">
        <v>56</v>
      </c>
      <c r="AF35" t="s">
        <v>56</v>
      </c>
      <c r="AH35" t="s">
        <v>55</v>
      </c>
      <c r="AI35" s="2"/>
      <c r="AJ35" s="2"/>
      <c r="AK35" s="2"/>
      <c r="AL35" s="2"/>
      <c r="AM35" s="2"/>
      <c r="AN35" s="2"/>
    </row>
    <row r="36" spans="3:40" x14ac:dyDescent="0.2">
      <c r="C36" s="2" t="s">
        <v>6</v>
      </c>
      <c r="D36" t="s">
        <v>55</v>
      </c>
      <c r="F36" t="s">
        <v>55</v>
      </c>
      <c r="H36" t="s">
        <v>55</v>
      </c>
      <c r="J36" t="s">
        <v>55</v>
      </c>
      <c r="L36" t="s">
        <v>55</v>
      </c>
      <c r="N36" t="s">
        <v>55</v>
      </c>
      <c r="P36" t="s">
        <v>55</v>
      </c>
      <c r="R36" t="s">
        <v>55</v>
      </c>
      <c r="T36" t="s">
        <v>55</v>
      </c>
      <c r="V36" t="s">
        <v>56</v>
      </c>
      <c r="X36" t="s">
        <v>55</v>
      </c>
      <c r="Z36" t="s">
        <v>55</v>
      </c>
      <c r="AB36" t="s">
        <v>55</v>
      </c>
      <c r="AD36" t="s">
        <v>55</v>
      </c>
      <c r="AF36" t="s">
        <v>55</v>
      </c>
      <c r="AH36" t="s">
        <v>56</v>
      </c>
      <c r="AI36" s="2"/>
      <c r="AJ36" s="2"/>
      <c r="AK36" s="2"/>
      <c r="AL36" s="2"/>
      <c r="AM36" s="2"/>
      <c r="AN36" s="2"/>
    </row>
    <row r="37" spans="3:40" x14ac:dyDescent="0.2">
      <c r="C37" s="2" t="s">
        <v>7</v>
      </c>
      <c r="D37" t="s">
        <v>55</v>
      </c>
      <c r="F37" t="s">
        <v>55</v>
      </c>
      <c r="H37" t="s">
        <v>55</v>
      </c>
      <c r="J37" t="s">
        <v>55</v>
      </c>
      <c r="L37" t="s">
        <v>55</v>
      </c>
      <c r="N37" t="s">
        <v>55</v>
      </c>
      <c r="P37" t="s">
        <v>55</v>
      </c>
      <c r="R37" t="s">
        <v>55</v>
      </c>
      <c r="T37" t="s">
        <v>55</v>
      </c>
      <c r="V37" t="s">
        <v>55</v>
      </c>
      <c r="X37" t="s">
        <v>55</v>
      </c>
      <c r="Z37" t="s">
        <v>55</v>
      </c>
      <c r="AB37" t="s">
        <v>55</v>
      </c>
      <c r="AD37" t="s">
        <v>55</v>
      </c>
      <c r="AF37" t="s">
        <v>55</v>
      </c>
      <c r="AH37" t="s">
        <v>55</v>
      </c>
      <c r="AI37" s="2"/>
      <c r="AJ37" s="2"/>
      <c r="AK37" s="2"/>
      <c r="AL37" s="2"/>
      <c r="AM37" s="2"/>
      <c r="AN37" s="2"/>
    </row>
    <row r="38" spans="3:40" x14ac:dyDescent="0.2">
      <c r="C38" s="2" t="s">
        <v>8</v>
      </c>
      <c r="D38" t="s">
        <v>56</v>
      </c>
      <c r="F38" t="s">
        <v>55</v>
      </c>
      <c r="H38" t="s">
        <v>56</v>
      </c>
      <c r="J38" t="s">
        <v>55</v>
      </c>
      <c r="L38" t="s">
        <v>56</v>
      </c>
      <c r="N38" t="s">
        <v>56</v>
      </c>
      <c r="P38" t="s">
        <v>56</v>
      </c>
      <c r="R38" t="s">
        <v>55</v>
      </c>
      <c r="T38" t="s">
        <v>56</v>
      </c>
      <c r="V38" t="s">
        <v>56</v>
      </c>
      <c r="X38" t="s">
        <v>56</v>
      </c>
      <c r="Z38" t="s">
        <v>55</v>
      </c>
      <c r="AB38" t="s">
        <v>55</v>
      </c>
      <c r="AD38" t="s">
        <v>56</v>
      </c>
      <c r="AF38" t="s">
        <v>56</v>
      </c>
      <c r="AH38" t="s">
        <v>55</v>
      </c>
      <c r="AI38" s="2"/>
      <c r="AJ38" s="2"/>
      <c r="AK38" s="2"/>
      <c r="AL38" s="2"/>
      <c r="AM38" s="2"/>
      <c r="AN38" s="2"/>
    </row>
    <row r="39" spans="3:40" x14ac:dyDescent="0.2">
      <c r="C39" s="2" t="s">
        <v>9</v>
      </c>
      <c r="D39" t="s">
        <v>55</v>
      </c>
      <c r="F39" t="s">
        <v>55</v>
      </c>
      <c r="H39" t="s">
        <v>55</v>
      </c>
      <c r="J39" t="s">
        <v>55</v>
      </c>
      <c r="L39" t="s">
        <v>55</v>
      </c>
      <c r="N39" t="s">
        <v>55</v>
      </c>
      <c r="P39" t="s">
        <v>55</v>
      </c>
      <c r="R39" t="s">
        <v>55</v>
      </c>
      <c r="T39" t="s">
        <v>55</v>
      </c>
      <c r="V39" t="s">
        <v>55</v>
      </c>
      <c r="X39" t="s">
        <v>55</v>
      </c>
      <c r="Z39" t="s">
        <v>55</v>
      </c>
      <c r="AB39" t="s">
        <v>55</v>
      </c>
      <c r="AD39" t="s">
        <v>55</v>
      </c>
      <c r="AF39" t="s">
        <v>55</v>
      </c>
      <c r="AH39" t="s">
        <v>55</v>
      </c>
      <c r="AI39" s="2"/>
      <c r="AJ39" s="2"/>
      <c r="AK39" s="2"/>
      <c r="AL39" s="2"/>
      <c r="AM39" s="2"/>
      <c r="AN39" s="2"/>
    </row>
    <row r="40" spans="3:40" x14ac:dyDescent="0.2">
      <c r="C40" s="2" t="s">
        <v>47</v>
      </c>
      <c r="D40" t="s">
        <v>55</v>
      </c>
      <c r="F40" t="s">
        <v>55</v>
      </c>
      <c r="H40" t="s">
        <v>55</v>
      </c>
      <c r="J40" t="s">
        <v>55</v>
      </c>
      <c r="L40" t="s">
        <v>55</v>
      </c>
      <c r="N40" t="s">
        <v>55</v>
      </c>
      <c r="P40" t="s">
        <v>55</v>
      </c>
      <c r="R40" t="s">
        <v>55</v>
      </c>
      <c r="T40" t="s">
        <v>55</v>
      </c>
      <c r="V40" t="s">
        <v>55</v>
      </c>
      <c r="X40" t="s">
        <v>55</v>
      </c>
      <c r="Z40" t="s">
        <v>55</v>
      </c>
      <c r="AB40" t="s">
        <v>55</v>
      </c>
      <c r="AD40" t="s">
        <v>55</v>
      </c>
      <c r="AF40" t="s">
        <v>55</v>
      </c>
      <c r="AH40" t="s">
        <v>55</v>
      </c>
      <c r="AI40" s="2"/>
      <c r="AJ40" s="2"/>
      <c r="AK40" s="2"/>
      <c r="AL40" s="2"/>
      <c r="AM40" s="2"/>
      <c r="AN40" s="2"/>
    </row>
    <row r="41" spans="3:40" x14ac:dyDescent="0.2">
      <c r="C41" s="2" t="s">
        <v>48</v>
      </c>
      <c r="D41" t="s">
        <v>55</v>
      </c>
      <c r="F41" t="s">
        <v>55</v>
      </c>
      <c r="H41" t="s">
        <v>55</v>
      </c>
      <c r="J41" t="s">
        <v>55</v>
      </c>
      <c r="L41" t="s">
        <v>55</v>
      </c>
      <c r="N41" t="s">
        <v>55</v>
      </c>
      <c r="P41" t="s">
        <v>55</v>
      </c>
      <c r="R41" t="s">
        <v>55</v>
      </c>
      <c r="T41" t="s">
        <v>55</v>
      </c>
      <c r="V41" t="s">
        <v>55</v>
      </c>
      <c r="X41" t="s">
        <v>55</v>
      </c>
      <c r="Z41" t="s">
        <v>55</v>
      </c>
      <c r="AB41" t="s">
        <v>56</v>
      </c>
      <c r="AD41" t="s">
        <v>55</v>
      </c>
      <c r="AF41" t="s">
        <v>55</v>
      </c>
      <c r="AH41" t="s">
        <v>55</v>
      </c>
      <c r="AI41" s="2"/>
      <c r="AJ41" s="2"/>
      <c r="AK41" s="2"/>
      <c r="AL41" s="2"/>
      <c r="AM41" s="2"/>
      <c r="AN41" s="2"/>
    </row>
    <row r="42" spans="3:40" x14ac:dyDescent="0.2">
      <c r="C42" s="2" t="s">
        <v>49</v>
      </c>
      <c r="D42" t="s">
        <v>55</v>
      </c>
      <c r="F42" t="s">
        <v>55</v>
      </c>
      <c r="H42" t="s">
        <v>55</v>
      </c>
      <c r="J42" t="s">
        <v>55</v>
      </c>
      <c r="L42" t="s">
        <v>55</v>
      </c>
      <c r="N42" t="s">
        <v>55</v>
      </c>
      <c r="P42" t="s">
        <v>55</v>
      </c>
      <c r="R42" t="s">
        <v>55</v>
      </c>
      <c r="T42" t="s">
        <v>55</v>
      </c>
      <c r="V42" t="s">
        <v>55</v>
      </c>
      <c r="X42" t="s">
        <v>55</v>
      </c>
      <c r="Z42" t="s">
        <v>55</v>
      </c>
      <c r="AB42" t="s">
        <v>55</v>
      </c>
      <c r="AD42" t="s">
        <v>55</v>
      </c>
      <c r="AF42" t="s">
        <v>55</v>
      </c>
      <c r="AH42" t="s">
        <v>55</v>
      </c>
      <c r="AI42" s="2"/>
      <c r="AJ42" s="2"/>
      <c r="AK42" s="2"/>
      <c r="AL42" s="2"/>
      <c r="AM42" s="2"/>
      <c r="AN42" s="2"/>
    </row>
    <row r="43" spans="3:40" x14ac:dyDescent="0.2">
      <c r="C43" s="2" t="s">
        <v>50</v>
      </c>
      <c r="D43" t="s">
        <v>56</v>
      </c>
      <c r="F43" t="s">
        <v>55</v>
      </c>
      <c r="H43" t="s">
        <v>56</v>
      </c>
      <c r="J43" t="s">
        <v>56</v>
      </c>
      <c r="L43" t="s">
        <v>55</v>
      </c>
      <c r="N43" t="s">
        <v>55</v>
      </c>
      <c r="P43" t="s">
        <v>55</v>
      </c>
      <c r="R43" t="s">
        <v>55</v>
      </c>
      <c r="T43" t="s">
        <v>55</v>
      </c>
      <c r="V43" t="s">
        <v>55</v>
      </c>
      <c r="X43" t="s">
        <v>56</v>
      </c>
      <c r="Z43" t="s">
        <v>55</v>
      </c>
      <c r="AB43" t="s">
        <v>56</v>
      </c>
      <c r="AD43" t="s">
        <v>55</v>
      </c>
      <c r="AF43" t="s">
        <v>55</v>
      </c>
      <c r="AH43" t="s">
        <v>55</v>
      </c>
      <c r="AI43" s="2"/>
      <c r="AJ43" s="2"/>
      <c r="AK43" s="2"/>
      <c r="AL43" s="2"/>
      <c r="AM43" s="2"/>
      <c r="AN43" s="2"/>
    </row>
    <row r="44" spans="3:40" x14ac:dyDescent="0.2">
      <c r="C44" s="2" t="s">
        <v>51</v>
      </c>
      <c r="D44" t="s">
        <v>55</v>
      </c>
      <c r="F44" t="s">
        <v>56</v>
      </c>
      <c r="H44" t="s">
        <v>56</v>
      </c>
      <c r="J44" t="s">
        <v>55</v>
      </c>
      <c r="L44" t="s">
        <v>56</v>
      </c>
      <c r="N44" t="s">
        <v>56</v>
      </c>
      <c r="P44" t="s">
        <v>55</v>
      </c>
      <c r="R44" t="s">
        <v>56</v>
      </c>
      <c r="T44" t="s">
        <v>55</v>
      </c>
      <c r="V44" t="s">
        <v>56</v>
      </c>
      <c r="X44" t="s">
        <v>55</v>
      </c>
      <c r="Z44" t="s">
        <v>56</v>
      </c>
      <c r="AB44" t="s">
        <v>56</v>
      </c>
      <c r="AD44" t="s">
        <v>56</v>
      </c>
      <c r="AF44" t="s">
        <v>56</v>
      </c>
      <c r="AH44" t="s">
        <v>55</v>
      </c>
      <c r="AI44" s="2"/>
      <c r="AJ44" s="2"/>
      <c r="AK44" s="2"/>
      <c r="AL44" s="2"/>
      <c r="AM44" s="2"/>
      <c r="AN44" s="2"/>
    </row>
    <row r="45" spans="3:40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3:40" x14ac:dyDescent="0.2">
      <c r="C46" s="2" t="s">
        <v>44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3:40" x14ac:dyDescent="0.2">
      <c r="C47" s="2" t="s">
        <v>53</v>
      </c>
      <c r="D47" s="2">
        <f>COUNTIF(D30:AH44,"plain")</f>
        <v>47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3:40" x14ac:dyDescent="0.2">
      <c r="C48" s="2" t="s">
        <v>52</v>
      </c>
      <c r="D48" s="2">
        <f>COUNTIF(D30:AH44,"informative")</f>
        <v>193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3:40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3:40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3:40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3:40" x14ac:dyDescent="0.2">
      <c r="C52" s="2"/>
      <c r="D52" s="2" t="s">
        <v>53</v>
      </c>
      <c r="E52" s="2" t="s">
        <v>52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3:40" x14ac:dyDescent="0.2">
      <c r="C53" s="2" t="s">
        <v>45</v>
      </c>
      <c r="D53" s="2">
        <f>(D24/240)*100</f>
        <v>27.083333333333332</v>
      </c>
      <c r="E53" s="2">
        <f>(D25/240)*100</f>
        <v>72.916666666666657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3:40" x14ac:dyDescent="0.2">
      <c r="C54" s="2" t="s">
        <v>46</v>
      </c>
      <c r="D54" s="2">
        <f>(D47/240)*100</f>
        <v>19.583333333333332</v>
      </c>
      <c r="E54" s="2">
        <f>(D48/240)*100</f>
        <v>80.416666666666671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3105-7AD1-1044-99CF-65701A64B498}">
  <dimension ref="C6:E8"/>
  <sheetViews>
    <sheetView workbookViewId="0">
      <selection activeCell="D15" sqref="D15"/>
    </sheetView>
  </sheetViews>
  <sheetFormatPr baseColWidth="10" defaultRowHeight="16" x14ac:dyDescent="0.2"/>
  <sheetData>
    <row r="6" spans="3:5" x14ac:dyDescent="0.2">
      <c r="C6" s="2"/>
      <c r="D6" s="2" t="s">
        <v>53</v>
      </c>
      <c r="E6" s="2" t="s">
        <v>52</v>
      </c>
    </row>
    <row r="7" spans="3:5" x14ac:dyDescent="0.2">
      <c r="C7" t="s">
        <v>45</v>
      </c>
      <c r="D7">
        <f>AVERAGE('plain_sf_first '!D54,informative_sf_first!D53)</f>
        <v>31.041666666666664</v>
      </c>
      <c r="E7">
        <f>AVERAGE('plain_sf_first '!E54,informative_sf_first!E53)</f>
        <v>68.958333333333329</v>
      </c>
    </row>
    <row r="8" spans="3:5" x14ac:dyDescent="0.2">
      <c r="C8" t="s">
        <v>46</v>
      </c>
      <c r="D8">
        <f>AVERAGE('plain_sf_first '!D55,informative_sf_first!D54)</f>
        <v>20</v>
      </c>
      <c r="E8">
        <f>AVERAGE('plain_sf_first '!E55,informative_sf_first!E54)</f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plain_sf_first </vt:lpstr>
      <vt:lpstr>informative_sf_first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Saugat Aryal</cp:lastModifiedBy>
  <dcterms:created xsi:type="dcterms:W3CDTF">2025-07-04T14:10:58Z</dcterms:created>
  <dcterms:modified xsi:type="dcterms:W3CDTF">2026-06-29T12:38:01Z</dcterms:modified>
</cp:coreProperties>
</file>